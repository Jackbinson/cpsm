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ướng dẫn" sheetId="1" r:id="rId4"/>
    <sheet state="visible" name="Test Cases" sheetId="2" r:id="rId5"/>
    <sheet state="visible" name="Bug Report" sheetId="3" r:id="rId6"/>
    <sheet state="visible" name="Dashboard" sheetId="4" r:id="rId7"/>
    <sheet state="visible" name="Dropdowns" sheetId="5" r:id="rId8"/>
  </sheets>
  <definedNames>
    <definedName hidden="1" localSheetId="1" name="_xlnm._FilterDatabase">'Test Cases'!$A$3:$Q$3</definedName>
    <definedName hidden="1" localSheetId="2" name="_xlnm._FilterDatabase">'Bug Report'!$A$3:$O$3</definedName>
  </definedNames>
  <calcPr/>
  <extLst>
    <ext uri="GoogleSheetsCustomDataVersion2">
      <go:sheetsCustomData xmlns:go="http://customooxmlschemas.google.com/" r:id="rId9" roundtripDataChecksum="BubMOO+DRT4hInA0vjGbpebi5juXWshJHZU638WRBoI="/>
    </ext>
  </extLst>
</workbook>
</file>

<file path=xl/sharedStrings.xml><?xml version="1.0" encoding="utf-8"?>
<sst xmlns="http://schemas.openxmlformats.org/spreadsheetml/2006/main" count="856" uniqueCount="491">
  <si>
    <t>TEST CASE TEMPLATE</t>
  </si>
  <si>
    <t>Bộ template kiểm thử phần mềm (Theo chuẩn IEEE 829)</t>
  </si>
  <si>
    <t>Dự án</t>
  </si>
  <si>
    <t>Ghost Admin CMS</t>
  </si>
  <si>
    <t>Version</t>
  </si>
  <si>
    <t>v1.0 / Sprint 1</t>
  </si>
  <si>
    <t>Nhóm tạo</t>
  </si>
  <si>
    <t>Code4App</t>
  </si>
  <si>
    <t>Ngày tạo</t>
  </si>
  <si>
    <t>Lần cập nhật</t>
  </si>
  <si>
    <t>Trạng thái</t>
  </si>
  <si>
    <t>Draft / Active / Archived</t>
  </si>
  <si>
    <t>CÁC SHEET TRONG WORKBOOK NÀY</t>
  </si>
  <si>
    <t>Hướng dẫn</t>
  </si>
  <si>
    <t>Sheet này – hướng dẫn sử dụng và thông tin dự án</t>
  </si>
  <si>
    <t>Test Cases</t>
  </si>
  <si>
    <t>CHÍNH – Bảng test cases đầy đủ, có Data Validation và màu trạng thái</t>
  </si>
  <si>
    <t>Bug Report</t>
  </si>
  <si>
    <t>Báo cáo lỗi liên kết trực tiếp với test case ID</t>
  </si>
  <si>
    <t>Dashboard</t>
  </si>
  <si>
    <t>Thống kê tự động: Pass Rate, Coverage, Bug count theo module</t>
  </si>
  <si>
    <t>Dropdowns</t>
  </si>
  <si>
    <t>Bảng dữ liệu nguồn cho các dropdown validation</t>
  </si>
  <si>
    <t>HƯỚNG DẪN SỬ DỤNG</t>
  </si>
  <si>
    <t>Bước 1</t>
  </si>
  <si>
    <t>Điền thông tin dự án vào bảng thông tin ở trên (ô màu xám)</t>
  </si>
  <si>
    <t>Bước 2</t>
  </si>
  <si>
    <t>Vào sheet Test Cases để viết test case. Dùng dropdown để chọn Status, Priority, Severity</t>
  </si>
  <si>
    <t>Bước 3</t>
  </si>
  <si>
    <t>Mỗi module nên dùng 1 màu Module_ID để dễ nhận biết khi filter</t>
  </si>
  <si>
    <t>Bước 4</t>
  </si>
  <si>
    <t>Khi thực thi, điền 'Actual Result' và chọn Status. Dashboard tự cập nhật</t>
  </si>
  <si>
    <t>Bước 5</t>
  </si>
  <si>
    <t>Khi phát hiện bug, điền vào sheet Bug Report và liên kết TC ID</t>
  </si>
  <si>
    <t>Bước 6</t>
  </si>
  <si>
    <t>Dùng Auto Filter (Ctrl+Shift+L) để lọc theo Module, Priority, Status</t>
  </si>
  <si>
    <t>Lưu ý</t>
  </si>
  <si>
    <t>KHÔNG xóa hàng tiêu đề màu xanh. Chỉ thêm dữ liệu từ hàng 4 trở đi</t>
  </si>
  <si>
    <t xml:space="preserve"> TEST CASE SUITE  –  Ghost Admin CMS</t>
  </si>
  <si>
    <t>Dự án: Ghost Admin CMS   |   Version: v1.0   |   Sprint: Sprint 1</t>
  </si>
  <si>
    <t>Người tạo: QA Team   |   Ngày tạo: [DD/MM/YYYY]</t>
  </si>
  <si>
    <t>Tổng TC: 52</t>
  </si>
  <si>
    <t>TC ID</t>
  </si>
  <si>
    <t>Tiêu đề Test Case</t>
  </si>
  <si>
    <t>Module</t>
  </si>
  <si>
    <t>Priority</t>
  </si>
  <si>
    <t>Severity</t>
  </si>
  <si>
    <t>Loại Test</t>
  </si>
  <si>
    <t>Preconditions
(Điều kiện tiên quyết)</t>
  </si>
  <si>
    <t>Test Steps
(Các bước thực hiện)</t>
  </si>
  <si>
    <t>Test Data
(Dữ liệu đầu vào)</t>
  </si>
  <si>
    <t>Expected Result
(Kết quả mong đợi)</t>
  </si>
  <si>
    <t>Actual Result
(Kết quả thực tế)</t>
  </si>
  <si>
    <t>Status</t>
  </si>
  <si>
    <t>Ngày thực hiện</t>
  </si>
  <si>
    <t>Người thực hiện</t>
  </si>
  <si>
    <t>Req ID</t>
  </si>
  <si>
    <t>Automation?</t>
  </si>
  <si>
    <t>Ghi chú</t>
  </si>
  <si>
    <t>TC_AUTH_001</t>
  </si>
  <si>
    <t>Hiển thị form đăng nhập khi chưa xác thực</t>
  </si>
  <si>
    <t>Authentication</t>
  </si>
  <si>
    <t>Critical</t>
  </si>
  <si>
    <t>Functional</t>
  </si>
  <si>
    <t>Người dùng chưa đăng nhập
Browser đang mở</t>
  </si>
  <si>
    <t>1. Mở browser
2. Truy cập URL: /ghost</t>
  </si>
  <si>
    <t>URL: /ghost
Trạng thái: chưa đăng nhập</t>
  </si>
  <si>
    <t>Trang login hiển thị đầy đủ
Có trường nhập Email và Password
Nút Sign In hiển thị và clickable
Link "Forgot?" hiển thị bên dưới form
Logo Ghost hiển thị phía trên form</t>
  </si>
  <si>
    <t>Pass</t>
  </si>
  <si>
    <t>Bùi Văn Nhớ</t>
  </si>
  <si>
    <t>REQ-AUTH-001</t>
  </si>
  <si>
    <t>Có</t>
  </si>
  <si>
    <t>Điều kiện tiên quyết của mọi TC auth</t>
  </si>
  <si>
    <t>TC_AUTH_002</t>
  </si>
  <si>
    <t>Đăng nhập thành công với email và password hợp lệ</t>
  </si>
  <si>
    <t>Positive</t>
  </si>
  <si>
    <t>Trang login đang mở (/ghost)
Tài khoản admin hợp lệ tồn tại trong hệ thống</t>
  </si>
  <si>
    <t>1. Nhập Email: khaih3222@gmail.com
2. Nhập Password: Vietkhai1108.
3. Click nút "Sign In"</t>
  </si>
  <si>
    <t>Email: khaih3222@gmail.com
Password:Vietkhai1108.</t>
  </si>
  <si>
    <t>Hệ thống chuyển hướng sang trang Dashboard (/ghost/#/dashboard)
Thanh điều hướng trái hiển thị đầy đủ menu
Tên người dùng hiển thị trên avatar góc trái dưới
Không có error message nào hiển thị</t>
  </si>
  <si>
    <t>REQ-AUTH-002</t>
  </si>
  <si>
    <t>Happy path – baseline</t>
  </si>
  <si>
    <t>TC_AUTH_003</t>
  </si>
  <si>
    <t>Đăng nhập thất bại – sai mật khẩu</t>
  </si>
  <si>
    <t>High</t>
  </si>
  <si>
    <t>Negative</t>
  </si>
  <si>
    <t>Trang login đang mở
Tài khoản admin@ghost.local tồn tại</t>
  </si>
  <si>
    <t>1. Nhập Email: khaih3222@gmail.com
2. Nhập Password: SaiPassword123
3. Click nút "Sign In"</t>
  </si>
  <si>
    <t>Email: khaih3222@gmail.com
Password: SaiPassword123 (sai)</t>
  </si>
  <si>
    <t>Trang KHÔNG chuyển hướng, vẫn ở trang login
Hiển thị thông báo lỗi: "There is no user with that email address." hoặc "your password is incorrect"</t>
  </si>
  <si>
    <t>Kiểm tra không tiết lộ nguyên nhân thất bại</t>
  </si>
  <si>
    <t>TC_AUTH_004</t>
  </si>
  <si>
    <t>Đăng nhập thất bại – để trống Email</t>
  </si>
  <si>
    <t>Medium</t>
  </si>
  <si>
    <t>Trang login đang mở</t>
  </si>
  <si>
    <t>1. Để trống trường Email
2. Nhập Password: Vietkhai1108.
3. Click nút "Sign In"</t>
  </si>
  <si>
    <t>Email: (trống)
Password:Vietkhai1108.</t>
  </si>
  <si>
    <t>Trang KHÔNG chuyển hướng
Hiển thị thông báo validation lỗi trường Email
Field Email được highlight lỗi</t>
  </si>
  <si>
    <t>Validation trường bắt buộc</t>
  </si>
  <si>
    <t>TC_AUTH_005</t>
  </si>
  <si>
    <t>Đăng nhập thất bại – để trống Password</t>
  </si>
  <si>
    <t>1. Nhập Email: khaih3222@gmail.com
2. Để trống trường Password
3. Click nút "Sign In"</t>
  </si>
  <si>
    <t>Email: khaih3222@gmail.com
Password: (trống)</t>
  </si>
  <si>
    <t>Trang KHÔNG chuyển hướng
Hiển thị thông báo validation lỗi trường Password
Field Password được highlight lỗi</t>
  </si>
  <si>
    <t>Not Executed</t>
  </si>
  <si>
    <t>TC_AUTH_006</t>
  </si>
  <si>
    <t>Xác minh tài khoản qua mã email (thiết bị mới)</t>
  </si>
  <si>
    <t>Tài khoản hợp lệ, đăng nhập từ thiết bị/trình duyệt mới
Hệ thống yêu cầu xác minh thêm</t>
  </si>
  <si>
    <t>1. Đăng nhập với email/password hợp lệ từ thiết bị mới
2. Quan sát màn hình yêu cầu mã xác minh
3. Kiểm tra hộp thư email đã đăng ký
4. Nhập mã xác minh hợp lệ
5. Click Submit</t>
  </si>
  <si>
    <t>Email đã đăng ký: khaih3222@gmail.com
Mã xác minh: lấy từ email</t>
  </si>
  <si>
    <t>Form nhập mã xác minh hiển thị sau đăng nhập
Email xác minh được gửi tới địa chỉ đã đăng ký
Nhập mã hợp lệ → Đăng nhập thành công, vào Dashboard
Nhập mã không hợp lệ → Hiển thị thông báo lỗi phù hợp</t>
  </si>
  <si>
    <t>REQ-AUTH-003</t>
  </si>
  <si>
    <t>Không</t>
  </si>
  <si>
    <t>Chỉ trigger khi đăng nhập thiết bị mới</t>
  </si>
  <si>
    <t>TC_AUTH_007</t>
  </si>
  <si>
    <t>Quên mật khẩu – gửi link reset qua email</t>
  </si>
  <si>
    <t>Trang login đang mở
Email admin@ghost.local đã đăng ký trong hệ thống</t>
  </si>
  <si>
    <t>1. Click link "Forgot?" trên trang login
2. Form nhập email hiển thị
3. Nhập Email: khaih3222@gmail.com
4. Click "Send reset link"</t>
  </si>
  <si>
    <t>Email: khaih3222@gmail.com</t>
  </si>
  <si>
    <t>Form nhập email reset mật khẩu hiển thị sau click "Forgot?"
Thông báo xác nhận "Email sent!" hiển thị
Email chứa link đặt lại mật khẩu được gửi tới hộp thư</t>
  </si>
  <si>
    <t>REQ-AUTH-004</t>
  </si>
  <si>
    <t>TC_AUTH_008</t>
  </si>
  <si>
    <t>Quên mật khẩu – link reset có thời hạn (expiry)</t>
  </si>
  <si>
    <t>Boundary</t>
  </si>
  <si>
    <t>Đã request reset link và nhận được email
Link đã quá hạn (&gt;24h)</t>
  </si>
  <si>
    <t>1. Mở email chứa link reset mật khẩu cũ
2. Click vào link reset đã quá hạn
3. Quan sát trang hiển thị</t>
  </si>
  <si>
    <t>Link reset password đã hết hạn</t>
  </si>
  <si>
    <t>Hệ thống hiển thị thông báo link đã hết hạn hoặc không hợp lệ
Không cho phép đặt mật khẩu mới
Có hướng dẫn để request link mới</t>
  </si>
  <si>
    <t>Security boundary – link expiry</t>
  </si>
  <si>
    <t>TC_AUTH_009</t>
  </si>
  <si>
    <t>Đăng xuất – session bị xóa và redirect về login</t>
  </si>
  <si>
    <t>User đã đăng nhập thành công
Đang ở trang Dashboard</t>
  </si>
  <si>
    <t>1. Click avatar/tên người dùng góc trái dưới
2. Menu dropdown xuất hiện
3. Click "Sign Out"</t>
  </si>
  <si>
    <t>N/A</t>
  </si>
  <si>
    <t>Hệ thống đăng xuất và redirect về trang login /ghost
Session/token bị xóa
Truy cập lại /ghost/#/dashboard → redirect về trang login
Trang login hiển thị trống, không prefill thông tin cũ</t>
  </si>
  <si>
    <t>REQ-AUTH-005</t>
  </si>
  <si>
    <t>TC_AUTH_010</t>
  </si>
  <si>
    <t>Truy cập URL admin khi chưa đăng nhập – redirect login</t>
  </si>
  <si>
    <t>Security</t>
  </si>
  <si>
    <t>User chưa đăng nhập hoặc vừa đăng xuất</t>
  </si>
  <si>
    <t>1. Trực tiếp nhập URL: /ghost/#/posts
2. Nhấn Enter
3. Quan sát kết quả</t>
  </si>
  <si>
    <t>URL: /ghost/#/posts
URL: /ghost/#/settings
URL: /ghost/#/members</t>
  </si>
  <si>
    <t>Hệ thống KHÔNG cho phép truy cập trang admin
Redirect về trang login /ghost
Không có nội dung admin nào hiển thị cho user chưa xác thực</t>
  </si>
  <si>
    <t>REQ-NFR-004</t>
  </si>
  <si>
    <t>Security – protected route access control</t>
  </si>
  <si>
    <t>TC_DASH_001</t>
  </si>
  <si>
    <t>Hiển thị trang Dashboard đầy đủ sau đăng nhập</t>
  </si>
  <si>
    <t>User đã đăng nhập thành công</t>
  </si>
  <si>
    <t>1. Thực hiện đăng nhập thành công
2. Quan sát trang Dashboard (/ghost/#/dashboard)</t>
  </si>
  <si>
    <t>Tài khoản: khaih3222@gmail.com</t>
  </si>
  <si>
    <t>Trang Dashboard hiển thị đầy đủ sau đăng nhập
Thanh điều hướng trái hiển thị: Posts, Pages, Tags, Members, Settings
Khu vực nội dung chính hiển thị widget thống kê
Không có lỗi JS hay lỗi giao diện nào</t>
  </si>
  <si>
    <t>REQ-DASH-001</t>
  </si>
  <si>
    <t>TC_DASH_002</t>
  </si>
  <si>
    <t>Dashboard tải trong vòng 3 giây</t>
  </si>
  <si>
    <t>Performance</t>
  </si>
  <si>
    <t>User đã đăng nhập
Kết nối mạng thông thường (không throttle)</t>
  </si>
  <si>
    <t>1. Mở DevTools → Network tab
2. Thực hiện đăng nhập
3. Đo thời gian load trang Dashboard
4. Kiểm tra tổng load time</t>
  </si>
  <si>
    <t>Công cụ: Chrome DevTools → Network</t>
  </si>
  <si>
    <t>Trang Dashboard load hoàn toàn trong vòng 3 giây
Không có request nào bị timeout
Các widget thống kê hiển thị đầy đủ dữ liệu</t>
  </si>
  <si>
    <t>REQ-NFR-001</t>
  </si>
  <si>
    <t>Đo bằng DevTools Network tab</t>
  </si>
  <si>
    <t>TC_POST_001</t>
  </si>
  <si>
    <t>Xem danh sách bài viết tại menu Posts</t>
  </si>
  <si>
    <t>Posts</t>
  </si>
  <si>
    <t>User đã đăng nhập
Có ít nhất 1 bài viết trong hệ thống</t>
  </si>
  <si>
    <t>1. Click menu "Posts" ở thanh điều hướng trái
2. Quan sát trang danh sách bài viết</t>
  </si>
  <si>
    <t>Tab "All Posts" hiển thị
Danh sách bài viết hiển thị với tiêu đề, trạng thái, ngày tạo/cập nhật
Có bộ lọc theo trạng thái: All, Draft, Published, Scheduled
Có ô tìm kiếm bài viết theo tiêu đề
Số lượng bài viết hiển thị chính xác</t>
  </si>
  <si>
    <t>REQ-POST-001</t>
  </si>
  <si>
    <t>TC_POST_002</t>
  </si>
  <si>
    <t>Lọc bài viết theo trạng thái Draft / Published</t>
  </si>
  <si>
    <t>User đã đăng nhập
Có bài viết ở trạng thái Draft và Published</t>
  </si>
  <si>
    <t>1. Vào menu Posts
2. Click filter "Draft" → quan sát
3. Click filter "Published" → quan sát
4. Click filter "All" → quan sát</t>
  </si>
  <si>
    <t>Filter options: All / Draft / Published / Scheduled</t>
  </si>
  <si>
    <t>Filter "Draft": chỉ hiển thị bài viết trạng thái Draft
Filter "Published": chỉ hiển thị bài viết đã xuất bản
Filter "All": hiển thị tất cả bài viết
Số lượng bài viết khớp với thực tế</t>
  </si>
  <si>
    <t>TC_POST_003</t>
  </si>
  <si>
    <t>Tìm kiếm bài viết theo tiêu đề</t>
  </si>
  <si>
    <t>User đã đăng nhập
Có bài viết tiêu đề "Hướng dẫn Ghost CMS"</t>
  </si>
  <si>
    <t>1. Vào menu Posts
2. Click vào ô tìm kiếm
3. Nhập: "Hướng dẫn"
4. Quan sát kết quả</t>
  </si>
  <si>
    <t>Từ khóa tìm kiếm: "Hướng dẫn"</t>
  </si>
  <si>
    <t>Kết quả tìm kiếm hiển thị real-time
Chỉ hiển thị bài viết có tiêu đề chứa "Hướng dẫn"
Xóa từ khóa → hiển thị lại toàn bộ danh sách</t>
  </si>
  <si>
    <t>TC_POST_004</t>
  </si>
  <si>
    <t>Tạo bài viết mới – mở editor trống</t>
  </si>
  <si>
    <t>User đã đăng nhập
Đang ở trang danh sách Posts</t>
  </si>
  <si>
    <t>1. Click nút "New Post" (góc trên phải)
2. Quan sát trang editor mở ra</t>
  </si>
  <si>
    <t>Editor bài viết trống mở ra
Toolbar định dạng đầy đủ hiển thị (Bold, Italic, Link, Heading, Image...)
Trường tiêu đề có placeholder "Post title"
Vùng nội dung chính có thể nhập liệu
Bài viết tự động lưu dưới dạng Draft</t>
  </si>
  <si>
    <t>REQ-POST-002</t>
  </si>
  <si>
    <t>TC_POST_005</t>
  </si>
  <si>
    <t>Soạn thảo nội dung – nhập tiêu đề và nội dung</t>
  </si>
  <si>
    <t>Đang ở editor bài viết mới hoặc bài viết Draft</t>
  </si>
  <si>
    <t>1. Nhập tiêu đề: "Test Post từ Ghost QA"
2. Click vào vùng nội dung
3. Nhập nội dung bài viết
4. Dùng toolbar: bôi đậm một đoạn text
5. Chèn heading H2
6. Chờ 3 giây</t>
  </si>
  <si>
    <t>Tiêu đề: "Test Post từ Ghost QA"
Nội dung: đoạn văn bản sample
Formatting: Bold, H2</t>
  </si>
  <si>
    <t>Tiêu đề hiển thị trong trường Post title
Nội dung hiển thị đúng trong editor
Formatting Bold và H2 áp dụng đúng
Auto-save xuất hiện ("Saved") sau khi ngừng nhập</t>
  </si>
  <si>
    <t>Trần Trung Kiên</t>
  </si>
  <si>
    <t>REQ-POST-003</t>
  </si>
  <si>
    <t>TC_POST_006</t>
  </si>
  <si>
    <t>Cấu hình Post Settings – URL slug, Tags, Excerpt</t>
  </si>
  <si>
    <t>Đang trong editor bài viết
Đã có nội dung tiêu đề</t>
  </si>
  <si>
    <t>1. Click biểu tượng bánh răng (⚙) bên phải toolbar
2. Sidebar cài đặt mở ra
3. Thay đổi URL slug thành: "test-post-ghost-qa"
4. Gán tag: "QA Testing"
5. Nhập Excerpt: "Bài viết kiểm thử Ghost CMS"
6. Click ra ngoài để lưu</t>
  </si>
  <si>
    <t>Slug: test-post-ghost-qa
Tag: QA Testing
Excerpt: Bài viết kiểm thử Ghost CMS</t>
  </si>
  <si>
    <t>Sidebar cài đặt hiển thị đầy đủ: URL slug, Tags, Author, Excerpt, Feature image
URL slug cập nhật theo giá trị mới
Tag "QA Testing" được gán vào bài viết
Excerpt được lưu thành công</t>
  </si>
  <si>
    <t>REQ-POST-004</t>
  </si>
  <si>
    <t>TC_POST_007</t>
  </si>
  <si>
    <t>Publish bài viết – xuất bản ngay lập tức</t>
  </si>
  <si>
    <t>Bài viết Draft đã có tiêu đề và nội dung
Đang ở editor bài viết</t>
  </si>
  <si>
    <t>1. Click nút "Publish" ở góc trên phải
2. Popup xác nhận xuất bản hiển thị
3. Chọn "Publish immediately"
4. Click "Publish" trong popup</t>
  </si>
  <si>
    <t>Bài viết: "Test Post từ Ghost QA"
Tùy chọn: Publish immediately</t>
  </si>
  <si>
    <t>Popup xác nhận hiển thị với tùy chọn publish ngay hoặc đặt lịch
Sau click Publish: trạng thái đổi thành "Published"
Badge "Published" xuất hiện trên editor
Bài viết xuất hiện trong danh sách filter "Published"</t>
  </si>
  <si>
    <t>REQ-POST-005</t>
  </si>
  <si>
    <t>Critical path – content publication</t>
  </si>
  <si>
    <t>TC_POST_008</t>
  </si>
  <si>
    <t>Đặt lịch xuất bản (Schedule) bài viết</t>
  </si>
  <si>
    <t>Bài viết Draft đang mở trong editor</t>
  </si>
  <si>
    <t>1. Click nút "Publish"
2. Chọn "Schedule for later"
3. Đặt ngày giờ: ngày mai +1 tiếng
4. Click "Schedule"</t>
  </si>
  <si>
    <t>Ngày giờ đặt lịch: [ngày mai] [giờ hiện tại + 1h]</t>
  </si>
  <si>
    <t>Trạng thái bài viết đổi thành "Scheduled"
Ngày giờ xuất bản hiển thị trong editor
Bài viết xuất hiện trong filter "Scheduled"
Vào đúng giờ hệ thống tự publish</t>
  </si>
  <si>
    <t>Scheduled publish – cần đợi đúng giờ</t>
  </si>
  <si>
    <t>TC_POST_009</t>
  </si>
  <si>
    <t>Xem danh sách bài viết Published qua bộ lọc</t>
  </si>
  <si>
    <t>Có ít nhất 1 bài viết Published trong hệ thống</t>
  </si>
  <si>
    <t>1. Vào menu Posts
2. Click filter "Published"
3. Quan sát danh sách</t>
  </si>
  <si>
    <t>Filter: Published</t>
  </si>
  <si>
    <t>Chỉ hiển thị bài viết có trạng thái Published
Số lượng bài viết khớp với thực tế
Mỗi bài viết hiển thị ngày xuất bản</t>
  </si>
  <si>
    <t>REQ-POST-006</t>
  </si>
  <si>
    <t>TC_POST_010</t>
  </si>
  <si>
    <t>Xóa bài viết – có popup xác nhận trước khi xóa</t>
  </si>
  <si>
    <t>Có bài viết "Test Post để xóa" trong hệ thống
User đang ở editor bài viết đó</t>
  </si>
  <si>
    <t>1. Mở bài viết cần xóa trong editor
2. Click biểu tượng bánh răng (⚙)
3. Scroll xuống → Click "Delete this post"
4. Popup xác nhận xóa xuất hiện
5. Click "Delete" trong popup</t>
  </si>
  <si>
    <t>Bài viết: "Test Post để xóa"</t>
  </si>
  <si>
    <t>Popup xác nhận xóa hiển thị với nội dung cảnh báo
Sau click Delete: bài viết bị xóa vĩnh viễn
Hệ thống redirect về danh sách Posts
Bài viết không còn xuất hiện trong danh sách</t>
  </si>
  <si>
    <t>REQ-POST-007</t>
  </si>
  <si>
    <t>Xác nhận REQ-NFR-010: thao tác xóa phải có dialog</t>
  </si>
  <si>
    <t>TC_PAGE_001</t>
  </si>
  <si>
    <t>Xem danh sách trang tĩnh tại menu Pages</t>
  </si>
  <si>
    <t>Pages</t>
  </si>
  <si>
    <t>User đã đăng nhập
Có ít nhất 1 page trong hệ thống</t>
  </si>
  <si>
    <t>1. Click menu "Pages" ở thanh điều hướng trái
2. Quan sát trang danh sách</t>
  </si>
  <si>
    <t>Danh sách trang tĩnh (Pages) hiển thị
Mỗi page hiển thị: tiêu đề, trạng thái, ngày cập nhật
Có bộ lọc theo trạng thái: All, Draft, Published
Có ô tìm kiếm page theo tiêu đề</t>
  </si>
  <si>
    <t>REQ-PAGE-001</t>
  </si>
  <si>
    <t>TC_PAGE_002</t>
  </si>
  <si>
    <t>Lọc Pages theo trạng thái Draft / Published</t>
  </si>
  <si>
    <t>User đã đăng nhập
Có page ở cả trạng thái Draft và Published</t>
  </si>
  <si>
    <t>1. Vào menu Pages
2. Click filter "Draft" → quan sát
3. Click filter "Published" → quan sát</t>
  </si>
  <si>
    <t>Filter: Draft, Published</t>
  </si>
  <si>
    <t>Filter "Draft": chỉ hiển thị page trạng thái Draft
Filter "Published": chỉ hiển thị page đã xuất bản
Kết quả khớp với số lượng thực tế</t>
  </si>
  <si>
    <t>TC_PAGE_003</t>
  </si>
  <si>
    <t>Tạo Page mới – mở editor và nhập nội dung</t>
  </si>
  <si>
    <t>User đã đăng nhập
Đang ở trang danh sách Pages</t>
  </si>
  <si>
    <t>1. Click "New Page"
2. Editor mở ra
3. Nhập tiêu đề: "About Us"
4. Nhập nội dung về trang
5. Chờ 3 giây (auto-save)</t>
  </si>
  <si>
    <t>Tiêu đề: About Us
Nội dung: mô tả trang giới thiệu</t>
  </si>
  <si>
    <t>Editor trang tĩnh mở ra với giao diện tương tự Posts editor
Trường tiêu đề và nội dung hoạt động bình thường
Page được lưu tự động dưới dạng Draft
Status "Saved" xuất hiện</t>
  </si>
  <si>
    <t>Hiển thị form tạo page với các trường: Tiêu đề, Nội dung, Slug/URL, Trạng thái</t>
  </si>
  <si>
    <t xml:space="preserve">Hoàng Trần Việt Khải </t>
  </si>
  <si>
    <t>REQ-PAGE-002</t>
  </si>
  <si>
    <t>TC_PAGE_004</t>
  </si>
  <si>
    <t>Publish Page – xuất bản trang tĩnh</t>
  </si>
  <si>
    <t>Page "About Us" đang ở trạng thái Draft trong editor</t>
  </si>
  <si>
    <t>1. Click nút "Publish"
2. Popup xác nhận hiển thị
3. Click "Publish" trong popup</t>
  </si>
  <si>
    <t>Page: About Us</t>
  </si>
  <si>
    <t>Page chuyển trạng thái sang "Published"
Badge "Published" hiển thị trên editor
Page xuất hiện trong danh sách filter "Published"</t>
  </si>
  <si>
    <t>TC_TAG_001</t>
  </si>
  <si>
    <t>Xem danh sách Tags đầy đủ</t>
  </si>
  <si>
    <t>Tags</t>
  </si>
  <si>
    <t>User đã đăng nhập
Có ít nhất 1 tag trong hệ thống</t>
  </si>
  <si>
    <t>1. Click menu "Tags" ở thanh điều hướng trái
2. Quan sát trang danh sách tags</t>
  </si>
  <si>
    <t>Danh sách Tags hiển thị đầy đủ
Mỗi tag hiển thị: tên, màu sắc (nếu có), số bài viết liên kết
Tổng số tags hiển thị chính xác
Danh sách cuộn được nếu tags nhiều</t>
  </si>
  <si>
    <t>REQ-TAG-001</t>
  </si>
  <si>
    <t>TC_TAG_002</t>
  </si>
  <si>
    <t>Tạo Tag mới với tên, màu sắc và mô tả</t>
  </si>
  <si>
    <t>User đã đăng nhập
Đang ở trang danh sách Tags</t>
  </si>
  <si>
    <t>1. Click "New Tag"
2. Nhập Tên tag: "Ghost QA"
3. Chọn màu sắc: #E74C3C
4. Nhập mô tả: "Tag dùng cho kiểm thử"
5. Click "Save"</t>
  </si>
  <si>
    <t>Tên: Ghost QA
Màu: #E74C3C
Mô tả: Tag dùng cho kiểm thử</t>
  </si>
  <si>
    <t>Form tạo tag hiển thị đầy đủ: tên, color picker, mô tả
Sau Save: tag "Ghost QA" xuất hiện trong danh sách
Màu sắc và mô tả hiển thị đúng
Tag có thể được gán cho bài viết</t>
  </si>
  <si>
    <t>REQ-TAG-002</t>
  </si>
  <si>
    <t>TC_TAG_003</t>
  </si>
  <si>
    <t>Tạo Tag với tên rỗng – validation lỗi</t>
  </si>
  <si>
    <t>Đang ở form tạo tag mới</t>
  </si>
  <si>
    <t>1. Để trống trường Tên tag
2. Click "Save"</t>
  </si>
  <si>
    <t>Tên tag: (trống)</t>
  </si>
  <si>
    <t>Hệ thống KHÔNG tạo tag mới
Hiển thị thông báo lỗi: trường tên là bắt buộc
Form vẫn mở để người dùng nhập lại</t>
  </si>
  <si>
    <t>TC_TAG_004</t>
  </si>
  <si>
    <t>Sửa thông tin Tag – cập nhật tên và màu sắc</t>
  </si>
  <si>
    <t>Tag "Ghost QA" đã tồn tại trong hệ thống</t>
  </si>
  <si>
    <t>1. Click vào tag "Ghost QA" trong danh sách
2. Form chỉnh sửa hiển thị
3. Đổi tên thành: "Ghost QA Updated"
4. Đổi màu thành: #2ECC71
5. Click "Save"</t>
  </si>
  <si>
    <t>Tên mới: Ghost QA Updated
Màu mới: #2ECC71</t>
  </si>
  <si>
    <t>Form chỉnh sửa hiển thị thông tin hiện tại của tag
Sau Save: tag cập nhật thành "Ghost QA Updated"
Màu sắc mới hiển thị trong danh sách
Bài viết đã gán tag này không bị ảnh hưởng</t>
  </si>
  <si>
    <t>Tag có thể cập nhật và sửa được thông tin</t>
  </si>
  <si>
    <t>REQ-TAG-003</t>
  </si>
  <si>
    <t>TC_TAG_005</t>
  </si>
  <si>
    <t>Xóa Tag – có popup xác nhận, bài viết không bị ảnh hưởng</t>
  </si>
  <si>
    <t>Tag "Ghost QA Updated" tồn tại
Có bài viết đã gán tag này</t>
  </si>
  <si>
    <t>1. Click vào tag cần xóa
2. Click "Delete tag"
3. Popup xác nhận xuất hiện
4. Click "Delete"</t>
  </si>
  <si>
    <t>Tag: Ghost QA Updated</t>
  </si>
  <si>
    <t>Popup xác nhận xóa hiển thị trước khi thực hiện
Sau Delete: tag bị xóa khỏi hệ thống
Tag không còn trong danh sách
Bài viết đã gán tag này vẫn tồn tại (tag chỉ bị tách ra)</t>
  </si>
  <si>
    <t>REQ-TAG-004</t>
  </si>
  <si>
    <t>REQ-NFR-010: phải có confirmation dialog</t>
  </si>
  <si>
    <t>TC_TAG_006</t>
  </si>
  <si>
    <t>Gán Tag cho bài viết qua Post Settings</t>
  </si>
  <si>
    <t>Tag "Ghost QA" đã tồn tại
Đang ở editor một bài viết</t>
  </si>
  <si>
    <t>1. Mở Post Settings sidebar (⚙)
2. Click vào trường Tags
3. Gõ "Ghost QA" → chọn tag từ dropdown
4. Click Publish/Update</t>
  </si>
  <si>
    <t>Tag gán: Ghost QA</t>
  </si>
  <si>
    <t>Tag "Ghost QA" xuất hiện trong trường Tags của bài viết
Sau lưu/publish: tag được liên kết với bài viết
Bài viết hiển thị đúng số lượng tag trong danh sách Posts</t>
  </si>
  <si>
    <t>TC_MEM_001</t>
  </si>
  <si>
    <t>Xem danh sách Members đầy đủ</t>
  </si>
  <si>
    <t>Members</t>
  </si>
  <si>
    <t>User đã đăng nhập
Có ít nhất 1 member trong hệ thống</t>
  </si>
  <si>
    <t>1. Click menu "Members" ở thanh điều hướng
2. Quan sát trang danh sách members</t>
  </si>
  <si>
    <t>Danh sách Members hiển thị đầy đủ
Mỗi member hiển thị: email, tên, ngày tham gia
Tổng số members hiển thị chính xác
Có phân trang hoặc scroll nếu danh sách dài</t>
  </si>
  <si>
    <t>REQ-MEM-001</t>
  </si>
  <si>
    <t>TC_MEM_002</t>
  </si>
  <si>
    <t>Tạo Member thủ công với email hợp lệ</t>
  </si>
  <si>
    <t>User đã đăng nhập
Đang ở trang danh sách Members</t>
  </si>
  <si>
    <t>1. Click "New Member"
2. Nhập Email: newmember@test.com
3. Nhập Tên: Test Member
4. Click "Save"</t>
  </si>
  <si>
    <t>Email: newmember@test.com
Tên: Test Member</t>
  </si>
  <si>
    <t>Form tạo member hiển thị đầy đủ (Email, Tên, Labels)
Sau Save: member "Test Member" xuất hiện trong danh sách
Email newmember@test.com hiển thị đúng</t>
  </si>
  <si>
    <t>REQ-MEM-002</t>
  </si>
  <si>
    <t>TC_MEM_003</t>
  </si>
  <si>
    <t>Tạo Member với email không hợp lệ – validation lỗi</t>
  </si>
  <si>
    <t>Đang ở form tạo member mới</t>
  </si>
  <si>
    <t>1. Nhập Email: khong-phai-email
2. Nhập Tên: Invalid User
3. Click "Save"</t>
  </si>
  <si>
    <t>Email: khong-phai-email (không đúng định dạng)</t>
  </si>
  <si>
    <t>Hệ thống KHÔNG tạo member mới
Hiển thị thông báo lỗi: email không hợp lệ
Field Email được highlight lỗi</t>
  </si>
  <si>
    <t>Validation format email</t>
  </si>
  <si>
    <t>TC_MEM_004</t>
  </si>
  <si>
    <t>Xem trang chi tiết của một Member</t>
  </si>
  <si>
    <t>Member "Test Member" tồn tại trong hệ thống</t>
  </si>
  <si>
    <t>1. Vào danh sách Members
2. Click vào "Test Member"
3. Quan sát trang profile member</t>
  </si>
  <si>
    <t>Member: Test Member (newmember@test.com)</t>
  </si>
  <si>
    <t>Trang profile member mở ra
Hiển thị đầy đủ: Email, Tên, Ngày tham gia, Subscriptions
Lịch sử hoạt động của member hiển thị
Có thể chỉnh sửa thông tin từ trang này</t>
  </si>
  <si>
    <t>REQ-MEM-003</t>
  </si>
  <si>
    <t>TC_MEM_005</t>
  </si>
  <si>
    <t>Import Members từ file CSV hợp lệ</t>
  </si>
  <si>
    <t>Đã chuẩn bị file members.csv đúng định dạng Ghost
File có 5 members với email và tên hợp lệ</t>
  </si>
  <si>
    <t>1. Click "Import" trên trang Members
2. Popup upload CSV xuất hiện
3. Chọn file members.csv
4. Xem preview và xác nhận
5. Click Import</t>
  </si>
  <si>
    <t>File: members.csv
Số members: 5
Format: email,name,note</t>
  </si>
  <si>
    <t>Popup upload CSV hiển thị
Preview danh sách members trước khi import
Sau import: 5 members được thêm vào danh sách
Báo cáo kết quả: "5 imported, 0 errors"</t>
  </si>
  <si>
    <t>REQ-MEM-004</t>
  </si>
  <si>
    <t>Chuẩn bị file CSV đúng định dạng Ghost</t>
  </si>
  <si>
    <t>TC_MEM_006</t>
  </si>
  <si>
    <t>Import CSV sai định dạng – hiển thị lỗi phù hợp</t>
  </si>
  <si>
    <t>Đã chuẩn bị file invalid.csv với cột sai / thiếu cột email</t>
  </si>
  <si>
    <t>1. Click "Import" trên trang Members
2. Chọn file invalid.csv
3. Quan sát phản hồi hệ thống</t>
  </si>
  <si>
    <t>File: invalid.csv (thiếu cột email hoặc sai định dạng)</t>
  </si>
  <si>
    <t>Hệ thống hiển thị thông báo lỗi định dạng file
Không có member nào được import
Hướng dẫn định dạng CSV đúng được cung cấp</t>
  </si>
  <si>
    <t>TC_MEM_007</t>
  </si>
  <si>
    <t>Tìm kiếm Members theo email real-time</t>
  </si>
  <si>
    <t>Có members trong hệ thống, bao gồm newmember@test.com</t>
  </si>
  <si>
    <t>1. Vào trang Members
2. Click vào ô tìm kiếm
3. Nhập "newmember"
4. Quan sát kết quả</t>
  </si>
  <si>
    <t>Từ khóa: newmember</t>
  </si>
  <si>
    <t>Kết quả lọc real-time khi nhập từ khóa
Chỉ hiển thị members có email/tên chứa "newmember"
Xóa từ khóa → hiển thị lại toàn bộ danh sách</t>
  </si>
  <si>
    <t>REQ-MEM-005</t>
  </si>
  <si>
    <t>TC_MEM_008</t>
  </si>
  <si>
    <t>Lọc Members theo loại (trả phí / miễn phí)</t>
  </si>
  <si>
    <t>Có members ở các loại: miễn phí và trả phí</t>
  </si>
  <si>
    <t>1. Vào trang Members
2. Chọn bộ lọc "Paid" → quan sát
3. Chọn bộ lọc "Free" → quan sát
4. Chọn "All" → quan sát</t>
  </si>
  <si>
    <t>Filter: Paid / Free / All</t>
  </si>
  <si>
    <t>Filter "Paid": chỉ hiển thị member trả phí
Filter "Free": chỉ hiển thị member miễn phí
Filter "All": hiển thị tất cả members
Số lượng khớp thực tế</t>
  </si>
  <si>
    <t>TC_SET_001</t>
  </si>
  <si>
    <t>Settings General – xem thông tin cơ bản website</t>
  </si>
  <si>
    <t>Settings</t>
  </si>
  <si>
    <t>User đã đăng nhập</t>
  </si>
  <si>
    <t>1. Click menu Settings
2. Chọn mục "General"
3. Quan sát trang cài đặt chung</t>
  </si>
  <si>
    <t>Trang cài đặt General hiển thị
Hiển thị các trường: Site title, Site description
Có khu vực upload Site icon và Publication logo
Giao diện hiển thị đúng, không có lỗi</t>
  </si>
  <si>
    <t>REQ-SET-001</t>
  </si>
  <si>
    <t>TC_SET_002</t>
  </si>
  <si>
    <t>Settings General – lưu Site title mới thành công</t>
  </si>
  <si>
    <t>Đang ở trang Settings → General</t>
  </si>
  <si>
    <t>1. Xóa nội dung Site title hiện tại
2. Nhập: "Ghost QA Test Site"
3. Click "Save settings"</t>
  </si>
  <si>
    <t>Site title mới: Ghost QA Test Site</t>
  </si>
  <si>
    <t>Thông báo xác nhận lưu thành công hiển thị
Site title đổi thành "Ghost QA Test Site"
Thay đổi phản ánh trên giao diện frontend website</t>
  </si>
  <si>
    <t>TC_SET_003</t>
  </si>
  <si>
    <t>Settings Navigation – thêm menu item mới</t>
  </si>
  <si>
    <t>Đang ở Settings → Navigation</t>
  </si>
  <si>
    <t>1. Click Settings → Navigation
2. Click "Add navigation item"
3. Nhập Label: "Blog"
4. Nhập URL: "/blog"
5. Click Save</t>
  </si>
  <si>
    <t>Label: Blog
URL: /blog</t>
  </si>
  <si>
    <t>Menu item "Blog" được thêm vào danh sách navigation
Sau Save: menu trên website cập nhật item mới
Item mới hiển thị đúng vị trí</t>
  </si>
  <si>
    <t>REQ-SET-002</t>
  </si>
  <si>
    <t>TC_SET_004</t>
  </si>
  <si>
    <t>Settings Navigation – xóa menu item</t>
  </si>
  <si>
    <t>Menu item "Blog" đã tồn tại trong Navigation
Đang ở Settings → Navigation</t>
  </si>
  <si>
    <t>1. Locate menu item "Blog"
2. Click icon xóa (X) bên cạnh item
3. Click Save</t>
  </si>
  <si>
    <t>Item xóa: Blog (/blog)</t>
  </si>
  <si>
    <t>Menu item "Blog" bị xóa khỏi danh sách
Sau Save: menu trên website không còn item "Blog"</t>
  </si>
  <si>
    <t>TC_SET_005</t>
  </si>
  <si>
    <t>Settings Branding – thay đổi Accent color</t>
  </si>
  <si>
    <t>Đang ở Settings → Branding/Design</t>
  </si>
  <si>
    <t>1. Click Settings → Branding
2. Click vào ô Accent color
3. Nhập mã màu: #FF6B35
4. Click Save</t>
  </si>
  <si>
    <t>Accent color: #FF6B35</t>
  </si>
  <si>
    <t>Color picker hiển thị và có thể chọn màu
Preview thay đổi màu hiển thị ngay trên trang settings
Sau Save: màu chủ đạo cập nhật theo giá trị mới</t>
  </si>
  <si>
    <t>REQ-SET-003</t>
  </si>
  <si>
    <t>Visual preview test</t>
  </si>
  <si>
    <t>TC_SET_006</t>
  </si>
  <si>
    <t>Settings Branding – chọn font chữ Heading và Body</t>
  </si>
  <si>
    <t>Đang ở Settings → Branding</t>
  </si>
  <si>
    <t>1. Click dropdown Heading font
2. Chọn font: "Playfair Display"
3. Click dropdown Body font
4. Chọn font: "Source Sans Pro"
5. Click Save</t>
  </si>
  <si>
    <t>Heading font: Playfair Display
Body font: Source Sans Pro</t>
  </si>
  <si>
    <t>Dropdown font hiển thị đầy đủ các tùy chọn
Sau chọn: preview font thay đổi ngay
Sau Save: font được áp dụng vào theme</t>
  </si>
  <si>
    <t>TC_STF_001</t>
  </si>
  <si>
    <t>Xem danh sách Staff và phân nhóm theo Role</t>
  </si>
  <si>
    <t>Staff/Users</t>
  </si>
  <si>
    <t>User đã đăng nhập với quyền Owner/Admin
Có ít nhất 1 staff member</t>
  </si>
  <si>
    <t>1. Click Settings → Staff
2. Quan sát trang danh sách Staff</t>
  </si>
  <si>
    <t>Danh sách Staff hiển thị đầy đủ
Mỗi staff hiển thị: Tên, Email, Role (Owner/Admin/Editor/Author/Contributor)
Avatar hiển thị nếu có
Phân nhóm rõ ràng: Owner và Other Users</t>
  </si>
  <si>
    <t>REQ-STF-001</t>
  </si>
  <si>
    <t>TC_STF_002</t>
  </si>
  <si>
    <t>Mời người dùng mới qua email với role hợp lệ</t>
  </si>
  <si>
    <t>User đã đăng nhập với quyền Admin/Owner
Đang ở trang Staff</t>
  </si>
  <si>
    <t>1. Click "Invite people"
2. Nhập Email: newstaff@ghost.local
3. Chọn Role: Editor
4. Click "Send Invitation Now"</t>
  </si>
  <si>
    <t>Email: newstaff@ghost.local
Role: Editor</t>
  </si>
  <si>
    <t>Form mời hiển thị đầy đủ: trường Email và dropdown Role
Sau gửi: email mời được gửi tới newstaff@ghost.local
Trạng thái "Invited" hiển thị trong danh sách
Khi người dùng chấp nhận: trạng thái đổi thành active</t>
  </si>
  <si>
    <t>REQ-STF-002</t>
  </si>
  <si>
    <t>TC_STF_003</t>
  </si>
  <si>
    <t>Mời người dùng với email không hợp lệ</t>
  </si>
  <si>
    <t>Đang ở form mời Staff</t>
  </si>
  <si>
    <t>1. Click "Invite people"
2. Nhập Email: khong-hop-le
3. Chọn Role: Author
4. Click "Send Invitation Now"</t>
  </si>
  <si>
    <t>Email: khong-hop-le (sai định dạng)</t>
  </si>
  <si>
    <t>Hệ thống KHÔNG gửi lời mời
Hiển thị thông báo lỗi email không hợp lệ
Field Email được highlight lỗi</t>
  </si>
  <si>
    <t>TC_STF_004</t>
  </si>
  <si>
    <t>Kiểm tra trạng thái Invited hiển thị đúng</t>
  </si>
  <si>
    <t>Đã gửi lời mời cho newstaff@ghost.local
Người dùng chưa chấp nhận</t>
  </si>
  <si>
    <t>1. Vào Settings → Staff
2. Quan sát khu vực danh sách
3. Tìm newstaff@ghost.local</t>
  </si>
  <si>
    <t>Email được mời: newstaff@ghost.local</t>
  </si>
  <si>
    <t>Email mới xuất hiện trong danh sách với trạng thái "Invited"
Hiển thị role đã chọn (Editor)
Có thể revoke invitation nếu cần</t>
  </si>
  <si>
    <t>TC_STF_005</t>
  </si>
  <si>
    <t>Xem trang hồ sơ cá nhân (My Profile)</t>
  </si>
  <si>
    <t>1. Click vào tên/avatar người dùng góc trái dưới
2. Chọn "Your profile" hoặc click tên
3. Quan sát trang hồ sơ cá nhân</t>
  </si>
  <si>
    <t>Trang profile cá nhân hiển thị
Hiển thị và chỉnh sửa được: Tên, Email, Bio
Có trường nhập mạng xã hội: Twitter, Facebook, Website
Có khu vực upload/thay đổi ảnh đại diện</t>
  </si>
  <si>
    <t>REQ-STF-003</t>
  </si>
  <si>
    <t>TC_STF_006</t>
  </si>
  <si>
    <t>Chỉnh sửa hồ sơ cá nhân – lưu thành công</t>
  </si>
  <si>
    <t>Đang ở trang hồ sơ cá nhân</t>
  </si>
  <si>
    <t>1. Thay đổi trường "Full Name": "Ghost QA Engineer"
2. Nhập Bio: "QA Engineer tại Ghost"
3. Click "Save"</t>
  </si>
  <si>
    <t>Full Name: Ghost QA Engineer
Bio: QA Engineer tại Ghost</t>
  </si>
  <si>
    <t>Thông báo xác nhận lưu thành công hiển thị
Tên người dùng cập nhật ở góc trái dưới giao diện
Thông tin Bio lưu đúng</t>
  </si>
  <si>
    <t>Verify UI cập nhật sau save</t>
  </si>
  <si>
    <t>BUG REPORT LOG  –  Ghost Admin CMS</t>
  </si>
  <si>
    <t>Danh sách defects phát hiện trong quá trình kiểm thử – Liên kết với Test Case ID</t>
  </si>
  <si>
    <t>Bug ID</t>
  </si>
  <si>
    <t>Tiêu đề Bug</t>
  </si>
  <si>
    <t>Môi trường</t>
  </si>
  <si>
    <t>Linked TC ID</t>
  </si>
  <si>
    <t>Steps to Reproduce
(Bước tái hiện)</t>
  </si>
  <si>
    <t>Expected Result</t>
  </si>
  <si>
    <t>Actual Result</t>
  </si>
  <si>
    <t>Reported By</t>
  </si>
  <si>
    <t>Reported Date</t>
  </si>
  <si>
    <t>Fixed Date</t>
  </si>
  <si>
    <t xml:space="preserve"> TEST EXECUTION DASHBOARD</t>
  </si>
  <si>
    <t>Các chỉ số tự động cập nhật khi  điền dữ liệu vào sheet Test Cases và Bug Report</t>
  </si>
  <si>
    <t xml:space="preserve"> THỐNG KÊ TEST CASES</t>
  </si>
  <si>
    <t>TC THEO MODULE</t>
  </si>
  <si>
    <t>Tổng Test Cases</t>
  </si>
  <si>
    <t>In Progress</t>
  </si>
  <si>
    <t xml:space="preserve">PASS </t>
  </si>
  <si>
    <t xml:space="preserve">FAIL </t>
  </si>
  <si>
    <t xml:space="preserve">BLOCKED </t>
  </si>
  <si>
    <t xml:space="preserve">SKIPPED </t>
  </si>
  <si>
    <t>Pass Rate (%)</t>
  </si>
  <si>
    <t>THỐNG KÊ BUG</t>
  </si>
  <si>
    <t>PHÂN LOẠI TC THEO PRIORITY</t>
  </si>
  <si>
    <t>Tổng Bugs</t>
  </si>
  <si>
    <t>Critical TCs</t>
  </si>
  <si>
    <t>High TCs</t>
  </si>
  <si>
    <t>Medium TCs</t>
  </si>
  <si>
    <t>Low TCs</t>
  </si>
  <si>
    <t>Low</t>
  </si>
  <si>
    <t>Open</t>
  </si>
  <si>
    <t>Fixed</t>
  </si>
  <si>
    <t>Closed</t>
  </si>
  <si>
    <t>BẢNG THAM CHIẾU – GIÁ TRỊ DROPDOWN</t>
  </si>
  <si>
    <t>PRIORITY</t>
  </si>
  <si>
    <t>SEVERITY</t>
  </si>
  <si>
    <t>STATUS (TC)</t>
  </si>
  <si>
    <t>STATUS (BUG)</t>
  </si>
  <si>
    <t>TEST TYPE</t>
  </si>
  <si>
    <t>BUG PRIORITY</t>
  </si>
  <si>
    <t>AUTOMATION</t>
  </si>
  <si>
    <t>P1 – Critical</t>
  </si>
  <si>
    <t>P2 – High</t>
  </si>
  <si>
    <t>P3 – Medium</t>
  </si>
  <si>
    <t>Một phần</t>
  </si>
  <si>
    <t>Fail</t>
  </si>
  <si>
    <t>Reopen</t>
  </si>
  <si>
    <t>Edge Case</t>
  </si>
  <si>
    <t>P4 – Low</t>
  </si>
  <si>
    <t>Blocked</t>
  </si>
  <si>
    <t>Skipped</t>
  </si>
  <si>
    <t>Rejected</t>
  </si>
  <si>
    <t>Deferred</t>
  </si>
  <si>
    <t>UI</t>
  </si>
  <si>
    <t>Regression</t>
  </si>
  <si>
    <t>Smoke</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</si>
</sst>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d/m/yyyy"/>
    <numFmt numFmtId="166" formatCode="&quot;Ngày &quot;d &quot;tháng &quot;m"/>
    <numFmt numFmtId="167" formatCode="&quot;ngày &quot;d &quot;tháng &quot;m"/>
    <numFmt numFmtId="168" formatCode="0.0%"/>
  </numFmts>
  <fonts count="36">
    <font>
      <sz val="11.0"/>
      <color theme="1"/>
      <name val="Calibri"/>
      <scheme val="minor"/>
    </font>
    <font>
      <b/>
      <sz val="28.0"/>
      <color theme="0"/>
      <name val="Calibri"/>
    </font>
    <font/>
    <font>
      <sz val="11.0"/>
      <color theme="1"/>
      <name val="Calibri"/>
    </font>
    <font>
      <i/>
      <sz val="11.0"/>
      <color rgb="FFDEEAF1"/>
      <name val="Calibri"/>
    </font>
    <font>
      <b/>
      <sz val="11.0"/>
      <color rgb="FF1F4E79"/>
      <name val="Calibri"/>
    </font>
    <font>
      <i/>
      <sz val="11.0"/>
      <color theme="1"/>
      <name val="Calibri"/>
    </font>
    <font>
      <b/>
      <sz val="11.0"/>
      <color theme="0"/>
      <name val="Calibri"/>
    </font>
    <font>
      <b/>
      <sz val="11.0"/>
      <color rgb="FF1A7A5E"/>
      <name val="Calibri"/>
    </font>
    <font>
      <sz val="11.0"/>
      <color rgb="FF17202A"/>
      <name val="Calibri"/>
    </font>
    <font>
      <b/>
      <sz val="11.0"/>
      <color rgb="FFFF0000"/>
      <name val="Calibri"/>
    </font>
    <font>
      <sz val="11.0"/>
      <color rgb="FFFF0000"/>
      <name val="Calibri"/>
    </font>
    <font>
      <b/>
      <sz val="28.0"/>
      <color rgb="FFFFFFFF"/>
      <name val="Calibri"/>
    </font>
    <font>
      <b/>
      <sz val="11.0"/>
      <color rgb="FFFFFFFF"/>
      <name val="Calibri"/>
    </font>
    <font>
      <sz val="10.0"/>
      <color rgb="FF1C2833"/>
      <name val="Arial"/>
    </font>
    <font>
      <b/>
      <sz val="10.0"/>
      <color rgb="FF922B21"/>
      <name val="Arial"/>
    </font>
    <font>
      <i/>
      <sz val="10.0"/>
      <color rgb="FF717D7E"/>
      <name val="Arial"/>
    </font>
    <font>
      <b/>
      <sz val="10.0"/>
      <color rgb="FFBA4A00"/>
      <name val="Arial"/>
    </font>
    <font>
      <b/>
      <sz val="10.0"/>
      <color rgb="FFB7770D"/>
      <name val="Arial"/>
    </font>
    <font>
      <i/>
      <sz val="11.0"/>
      <color rgb="FFFDEBD0"/>
      <name val="Calibri"/>
    </font>
    <font>
      <b/>
      <sz val="11.0"/>
      <color rgb="FF17202A"/>
      <name val="Calibri"/>
    </font>
    <font>
      <b/>
      <sz val="11.0"/>
      <color rgb="FFC0392B"/>
      <name val="Calibri"/>
    </font>
    <font>
      <sz val="11.0"/>
      <color rgb="FF2E75B6"/>
      <name val="Calibri"/>
    </font>
    <font>
      <sz val="11.0"/>
      <color rgb="FF1E8449"/>
      <name val="Calibri"/>
    </font>
    <font>
      <b/>
      <sz val="11.0"/>
      <color rgb="FF717D7E"/>
      <name val="Calibri"/>
    </font>
    <font>
      <b/>
      <sz val="11.0"/>
      <color rgb="FF2E75B6"/>
      <name val="Calibri"/>
    </font>
    <font>
      <b/>
      <sz val="11.0"/>
      <color rgb="FF1E8449"/>
      <name val="Calibri"/>
    </font>
    <font>
      <b/>
      <sz val="11.0"/>
      <color rgb="FF9A7D0A"/>
      <name val="Calibri"/>
    </font>
    <font>
      <b/>
      <sz val="10.0"/>
      <color rgb="FFC0392B"/>
      <name val="Calibri"/>
    </font>
    <font>
      <b/>
      <sz val="10.0"/>
      <color rgb="FF717D7E"/>
      <name val="Calibri"/>
    </font>
    <font>
      <b/>
      <sz val="10.0"/>
      <color rgb="FF1E8449"/>
      <name val="Calibri"/>
    </font>
    <font>
      <b/>
      <sz val="10.0"/>
      <color rgb="FF2E75B6"/>
      <name val="Calibri"/>
    </font>
    <font>
      <b/>
      <sz val="10.0"/>
      <color rgb="FF9A7D0A"/>
      <name val="Calibri"/>
    </font>
    <font>
      <b/>
      <sz val="10.0"/>
      <color rgb="FF1A7A5E"/>
      <name val="Calibri"/>
    </font>
    <font>
      <b/>
      <sz val="10.0"/>
      <color rgb="FF1F4E79"/>
      <name val="Calibri"/>
    </font>
    <font>
      <b/>
      <sz val="10.0"/>
      <color rgb="FF0D1B2A"/>
      <name val="Calibri"/>
    </font>
  </fonts>
  <fills count="18">
    <fill>
      <patternFill patternType="none"/>
    </fill>
    <fill>
      <patternFill patternType="lightGray"/>
    </fill>
    <fill>
      <patternFill patternType="solid">
        <fgColor rgb="FF002060"/>
        <bgColor rgb="FF002060"/>
      </patternFill>
    </fill>
    <fill>
      <patternFill patternType="solid">
        <fgColor rgb="FFEEF5FB"/>
        <bgColor rgb="FFEEF5FB"/>
      </patternFill>
    </fill>
    <fill>
      <patternFill patternType="solid">
        <fgColor rgb="FFFFFFFF"/>
        <bgColor rgb="FFFFFFFF"/>
      </patternFill>
    </fill>
    <fill>
      <patternFill patternType="solid">
        <fgColor rgb="FFDBE5F1"/>
        <bgColor rgb="FFDBE5F1"/>
      </patternFill>
    </fill>
    <fill>
      <patternFill patternType="solid">
        <fgColor rgb="FF1F4E79"/>
        <bgColor rgb="FF1F4E79"/>
      </patternFill>
    </fill>
    <fill>
      <patternFill patternType="solid">
        <fgColor rgb="FF548DD4"/>
        <bgColor rgb="FF548DD4"/>
      </patternFill>
    </fill>
    <fill>
      <patternFill patternType="solid">
        <fgColor rgb="FF00B050"/>
        <bgColor rgb="FF00B050"/>
      </patternFill>
    </fill>
    <fill>
      <patternFill patternType="solid">
        <fgColor rgb="FFFADBD8"/>
        <bgColor rgb="FFFADBD8"/>
      </patternFill>
    </fill>
    <fill>
      <patternFill patternType="solid">
        <fgColor rgb="FFEBF3FB"/>
        <bgColor rgb="FFEBF3FB"/>
      </patternFill>
    </fill>
    <fill>
      <patternFill patternType="solid">
        <fgColor rgb="FFFAFBFC"/>
        <bgColor rgb="FFFAFBFC"/>
      </patternFill>
    </fill>
    <fill>
      <patternFill patternType="solid">
        <fgColor rgb="FFFDEBD0"/>
        <bgColor rgb="FFFDEBD0"/>
      </patternFill>
    </fill>
    <fill>
      <patternFill patternType="solid">
        <fgColor rgb="FFFEF9E7"/>
        <bgColor rgb="FFFEF9E7"/>
      </patternFill>
    </fill>
    <fill>
      <patternFill patternType="solid">
        <fgColor rgb="FFF4F6F7"/>
        <bgColor rgb="FFF4F6F7"/>
      </patternFill>
    </fill>
    <fill>
      <patternFill patternType="solid">
        <fgColor rgb="FFDEEAF1"/>
        <bgColor rgb="FFDEEAF1"/>
      </patternFill>
    </fill>
    <fill>
      <patternFill patternType="solid">
        <fgColor rgb="FFD5F5E3"/>
        <bgColor rgb="FFD5F5E3"/>
      </patternFill>
    </fill>
    <fill>
      <patternFill patternType="solid">
        <fgColor rgb="FFD5F0E8"/>
        <bgColor rgb="FFD5F0E8"/>
      </patternFill>
    </fill>
  </fills>
  <borders count="11">
    <border/>
    <border>
      <left/>
      <top/>
      <bottom/>
    </border>
    <border>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bottom/>
    </border>
    <border>
      <left style="thin">
        <color rgb="FFFFFFFF"/>
      </left>
      <right style="thin">
        <color rgb="FFFFFFFF"/>
      </right>
      <top style="thin">
        <color rgb="FFFFFFFF"/>
      </top>
      <bottom/>
    </border>
    <border>
      <top style="thin">
        <color rgb="FF000000"/>
      </top>
      <bottom style="thin">
        <color rgb="FF000000"/>
      </bottom>
    </border>
    <border>
      <left style="thin">
        <color rgb="FFFFFFFF"/>
      </left>
      <right style="thin">
        <color rgb="FFFFFFFF"/>
      </right>
      <top style="thin">
        <color rgb="FFFFFFFF"/>
      </top>
      <bottom style="thin">
        <color rgb="FFFFFFFF"/>
      </bottom>
    </border>
    <border>
      <left style="thin">
        <color rgb="FFAAAAAA"/>
      </left>
      <right style="thin">
        <color rgb="FFAAAAAA"/>
      </right>
      <top style="thin">
        <color rgb="FFAAAAAA"/>
      </top>
      <bottom style="thin">
        <color rgb="FFAAAAAA"/>
      </bottom>
    </border>
  </borders>
  <cellStyleXfs count="1">
    <xf borderId="0" fillId="0" fontId="0" numFmtId="0" applyAlignment="1" applyFont="1"/>
  </cellStyleXfs>
  <cellXfs count="9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0"/>
    </xf>
    <xf borderId="2" fillId="0" fontId="2" numFmtId="0" xfId="0" applyBorder="1" applyFont="1"/>
    <xf borderId="0" fillId="0" fontId="3" numFmtId="0" xfId="0" applyAlignment="1" applyFont="1">
      <alignment shrinkToFit="0" vertical="bottom" wrapText="0"/>
    </xf>
    <xf borderId="1" fillId="2" fontId="4" numFmtId="0" xfId="0" applyAlignment="1" applyBorder="1" applyFont="1">
      <alignment horizontal="center" shrinkToFit="0" vertical="center" wrapText="0"/>
    </xf>
    <xf borderId="3" fillId="3" fontId="5" numFmtId="0" xfId="0" applyAlignment="1" applyBorder="1" applyFill="1" applyFont="1">
      <alignment horizontal="left" shrinkToFit="0" vertical="center" wrapText="0"/>
    </xf>
    <xf borderId="3" fillId="4" fontId="6" numFmtId="0" xfId="0" applyAlignment="1" applyBorder="1" applyFill="1" applyFont="1">
      <alignment horizontal="left" shrinkToFit="0" vertical="center" wrapText="0"/>
    </xf>
    <xf borderId="3" fillId="3" fontId="5" numFmtId="0" xfId="0" applyAlignment="1" applyBorder="1" applyFont="1">
      <alignment horizontal="left" readingOrder="0" shrinkToFit="0" vertical="center" wrapText="0"/>
    </xf>
    <xf borderId="3" fillId="4" fontId="6" numFmtId="0" xfId="0" applyAlignment="1" applyBorder="1" applyFont="1">
      <alignment horizontal="left" readingOrder="0" shrinkToFit="0" vertical="center" wrapText="0"/>
    </xf>
    <xf borderId="3" fillId="4" fontId="6" numFmtId="164" xfId="0" applyAlignment="1" applyBorder="1" applyFont="1" applyNumberFormat="1">
      <alignment horizontal="left" readingOrder="0" shrinkToFit="0" vertical="center" wrapText="0"/>
    </xf>
    <xf borderId="4" fillId="2" fontId="7" numFmtId="0" xfId="0" applyAlignment="1" applyBorder="1" applyFont="1">
      <alignment horizontal="left" shrinkToFit="0" vertical="center" wrapText="0"/>
    </xf>
    <xf borderId="5" fillId="0" fontId="2" numFmtId="0" xfId="0" applyBorder="1" applyFont="1"/>
    <xf borderId="3" fillId="5" fontId="8" numFmtId="0" xfId="0" applyAlignment="1" applyBorder="1" applyFill="1" applyFont="1">
      <alignment horizontal="left" shrinkToFit="0" vertical="center" wrapText="0"/>
    </xf>
    <xf borderId="3" fillId="5" fontId="9" numFmtId="0" xfId="0" applyAlignment="1" applyBorder="1" applyFont="1">
      <alignment horizontal="left" shrinkToFit="0" vertical="center" wrapText="0"/>
    </xf>
    <xf borderId="3" fillId="4" fontId="8" numFmtId="0" xfId="0" applyAlignment="1" applyBorder="1" applyFont="1">
      <alignment horizontal="left" shrinkToFit="0" vertical="center" wrapText="0"/>
    </xf>
    <xf borderId="3" fillId="4" fontId="9" numFmtId="0" xfId="0" applyAlignment="1" applyBorder="1" applyFont="1">
      <alignment horizontal="left" shrinkToFit="0" vertical="center" wrapText="0"/>
    </xf>
    <xf borderId="3" fillId="5" fontId="5" numFmtId="0" xfId="0" applyAlignment="1" applyBorder="1" applyFont="1">
      <alignment horizontal="left" shrinkToFit="0" vertical="center" wrapText="0"/>
    </xf>
    <xf borderId="3" fillId="5" fontId="9" numFmtId="0" xfId="0" applyAlignment="1" applyBorder="1" applyFont="1">
      <alignment horizontal="left" shrinkToFit="0" vertical="center" wrapText="1"/>
    </xf>
    <xf borderId="3" fillId="4" fontId="5" numFmtId="0" xfId="0" applyAlignment="1" applyBorder="1" applyFont="1">
      <alignment horizontal="left" shrinkToFit="0" vertical="center" wrapText="0"/>
    </xf>
    <xf borderId="3" fillId="4" fontId="9" numFmtId="0" xfId="0" applyAlignment="1" applyBorder="1" applyFont="1">
      <alignment horizontal="left" shrinkToFit="0" vertical="center" wrapText="1"/>
    </xf>
    <xf borderId="3" fillId="5" fontId="10" numFmtId="0" xfId="0" applyAlignment="1" applyBorder="1" applyFont="1">
      <alignment horizontal="left" shrinkToFit="0" vertical="center" wrapText="0"/>
    </xf>
    <xf borderId="3" fillId="5" fontId="11" numFmtId="0" xfId="0" applyAlignment="1" applyBorder="1" applyFont="1">
      <alignment horizontal="left" shrinkToFit="0" vertical="center" wrapText="1"/>
    </xf>
    <xf borderId="1" fillId="2" fontId="12" numFmtId="0" xfId="0" applyAlignment="1" applyBorder="1" applyFont="1">
      <alignment horizontal="center" shrinkToFit="0" vertical="center" wrapText="0"/>
    </xf>
    <xf borderId="6" fillId="0" fontId="2" numFmtId="0" xfId="0" applyBorder="1" applyFont="1"/>
    <xf borderId="1" fillId="2" fontId="4" numFmtId="0" xfId="0" applyAlignment="1" applyBorder="1" applyFont="1">
      <alignment horizontal="left" shrinkToFit="0" vertical="center" wrapText="0"/>
    </xf>
    <xf borderId="1" fillId="6" fontId="4" numFmtId="0" xfId="0" applyAlignment="1" applyBorder="1" applyFill="1" applyFont="1">
      <alignment horizontal="right" shrinkToFit="0" vertical="center" wrapText="0"/>
    </xf>
    <xf borderId="7" fillId="2" fontId="13" numFmtId="0" xfId="0" applyAlignment="1" applyBorder="1" applyFont="1">
      <alignment horizontal="center" shrinkToFit="0" vertical="center" wrapText="1"/>
    </xf>
    <xf borderId="7" fillId="7" fontId="13" numFmtId="0" xfId="0" applyAlignment="1" applyBorder="1" applyFill="1" applyFont="1">
      <alignment horizontal="center" shrinkToFit="0" vertical="center" wrapText="1"/>
    </xf>
    <xf borderId="7" fillId="8" fontId="13" numFmtId="0" xfId="0" applyAlignment="1" applyBorder="1" applyFill="1" applyFont="1">
      <alignment horizontal="center" shrinkToFit="0" vertical="center" wrapText="1"/>
    </xf>
    <xf borderId="3" fillId="4" fontId="14" numFmtId="0" xfId="0" applyAlignment="1" applyBorder="1" applyFont="1">
      <alignment horizontal="center" shrinkToFit="0" vertical="top" wrapText="1"/>
    </xf>
    <xf borderId="3" fillId="4" fontId="14" numFmtId="0" xfId="0" applyAlignment="1" applyBorder="1" applyFont="1">
      <alignment horizontal="left" shrinkToFit="0" vertical="top" wrapText="1"/>
    </xf>
    <xf borderId="3" fillId="9" fontId="15" numFmtId="0" xfId="0" applyAlignment="1" applyBorder="1" applyFill="1" applyFont="1">
      <alignment horizontal="center" shrinkToFit="0" vertical="top" wrapText="1"/>
    </xf>
    <xf borderId="3" fillId="10" fontId="16" numFmtId="0" xfId="0" applyAlignment="1" applyBorder="1" applyFill="1" applyFont="1">
      <alignment horizontal="center" readingOrder="0" shrinkToFit="0" vertical="top" wrapText="1"/>
    </xf>
    <xf borderId="3" fillId="4" fontId="14" numFmtId="0" xfId="0" applyAlignment="1" applyBorder="1" applyFont="1">
      <alignment horizontal="left" readingOrder="0" shrinkToFit="0" vertical="top" wrapText="1"/>
    </xf>
    <xf borderId="3" fillId="11" fontId="14" numFmtId="0" xfId="0" applyAlignment="1" applyBorder="1" applyFill="1" applyFont="1">
      <alignment horizontal="center" shrinkToFit="0" vertical="top" wrapText="1"/>
    </xf>
    <xf borderId="3" fillId="11" fontId="14" numFmtId="0" xfId="0" applyAlignment="1" applyBorder="1" applyFont="1">
      <alignment horizontal="left" shrinkToFit="0" vertical="top" wrapText="1"/>
    </xf>
    <xf borderId="3" fillId="11" fontId="14" numFmtId="0" xfId="0" applyAlignment="1" applyBorder="1" applyFont="1">
      <alignment horizontal="left" readingOrder="0" shrinkToFit="0" vertical="top" wrapText="1"/>
    </xf>
    <xf borderId="3" fillId="12" fontId="17" numFmtId="0" xfId="0" applyAlignment="1" applyBorder="1" applyFill="1" applyFont="1">
      <alignment horizontal="center" shrinkToFit="0" vertical="top" wrapText="1"/>
    </xf>
    <xf borderId="3" fillId="13" fontId="18" numFmtId="0" xfId="0" applyAlignment="1" applyBorder="1" applyFill="1" applyFont="1">
      <alignment horizontal="center" shrinkToFit="0" vertical="top" wrapText="1"/>
    </xf>
    <xf borderId="3" fillId="10" fontId="16" numFmtId="0" xfId="0" applyAlignment="1" applyBorder="1" applyFont="1">
      <alignment horizontal="center" shrinkToFit="0" vertical="top" wrapText="1"/>
    </xf>
    <xf borderId="3" fillId="4" fontId="14" numFmtId="165" xfId="0" applyAlignment="1" applyBorder="1" applyFont="1" applyNumberFormat="1">
      <alignment horizontal="center" readingOrder="0" shrinkToFit="0" vertical="top" wrapText="1"/>
    </xf>
    <xf borderId="3" fillId="4" fontId="14" numFmtId="166" xfId="0" applyAlignment="1" applyBorder="1" applyFont="1" applyNumberFormat="1">
      <alignment horizontal="center" readingOrder="0" shrinkToFit="0" vertical="top" wrapText="1"/>
    </xf>
    <xf borderId="3" fillId="11" fontId="14" numFmtId="167" xfId="0" applyAlignment="1" applyBorder="1" applyFont="1" applyNumberFormat="1">
      <alignment horizontal="center" readingOrder="0" shrinkToFit="0" vertical="top" wrapText="1"/>
    </xf>
    <xf borderId="1" fillId="2" fontId="12" numFmtId="0" xfId="0" applyAlignment="1" applyBorder="1" applyFont="1">
      <alignment horizontal="center" readingOrder="0" shrinkToFit="0" vertical="center" wrapText="0"/>
    </xf>
    <xf borderId="1" fillId="2" fontId="19" numFmtId="0" xfId="0" applyAlignment="1" applyBorder="1" applyFont="1">
      <alignment horizontal="center" shrinkToFit="0" vertical="center" wrapText="0"/>
    </xf>
    <xf borderId="3" fillId="4" fontId="20" numFmtId="0" xfId="0" applyAlignment="1" applyBorder="1" applyFont="1">
      <alignment horizontal="center" shrinkToFit="0" vertical="top" wrapText="1"/>
    </xf>
    <xf borderId="3" fillId="4" fontId="9" numFmtId="0" xfId="0" applyAlignment="1" applyBorder="1" applyFont="1">
      <alignment horizontal="left" shrinkToFit="0" vertical="top" wrapText="1"/>
    </xf>
    <xf borderId="3" fillId="12" fontId="21" numFmtId="0" xfId="0" applyAlignment="1" applyBorder="1" applyFont="1">
      <alignment horizontal="center" shrinkToFit="0" vertical="top" wrapText="1"/>
    </xf>
    <xf borderId="3" fillId="9" fontId="21" numFmtId="0" xfId="0" applyAlignment="1" applyBorder="1" applyFont="1">
      <alignment horizontal="center" shrinkToFit="0" vertical="top" wrapText="1"/>
    </xf>
    <xf borderId="3" fillId="4" fontId="9" numFmtId="0" xfId="0" applyAlignment="1" applyBorder="1" applyFont="1">
      <alignment horizontal="center" shrinkToFit="0" vertical="top" wrapText="1"/>
    </xf>
    <xf borderId="3" fillId="3" fontId="20" numFmtId="0" xfId="0" applyAlignment="1" applyBorder="1" applyFont="1">
      <alignment horizontal="center" shrinkToFit="0" vertical="top" wrapText="1"/>
    </xf>
    <xf borderId="3" fillId="3" fontId="9" numFmtId="0" xfId="0" applyAlignment="1" applyBorder="1" applyFont="1">
      <alignment horizontal="left" shrinkToFit="0" vertical="top" wrapText="1"/>
    </xf>
    <xf borderId="3" fillId="3" fontId="9" numFmtId="0" xfId="0" applyAlignment="1" applyBorder="1" applyFont="1">
      <alignment horizontal="center" shrinkToFit="0" vertical="top" wrapText="1"/>
    </xf>
    <xf borderId="3" fillId="4" fontId="3" numFmtId="0" xfId="0" applyAlignment="1" applyBorder="1" applyFont="1">
      <alignment shrinkToFit="0" vertical="top" wrapText="1"/>
    </xf>
    <xf borderId="3" fillId="3" fontId="3" numFmtId="0" xfId="0" applyAlignment="1" applyBorder="1" applyFont="1">
      <alignment shrinkToFit="0" vertical="top" wrapText="1"/>
    </xf>
    <xf borderId="4" fillId="2" fontId="13" numFmtId="0" xfId="0" applyAlignment="1" applyBorder="1" applyFont="1">
      <alignment horizontal="left" shrinkToFit="0" vertical="center" wrapText="0"/>
    </xf>
    <xf borderId="8" fillId="0" fontId="2" numFmtId="0" xfId="0" applyBorder="1" applyFont="1"/>
    <xf borderId="4" fillId="3" fontId="5" numFmtId="0" xfId="0" applyAlignment="1" applyBorder="1" applyFont="1">
      <alignment horizontal="center" shrinkToFit="0" vertical="center" wrapText="0"/>
    </xf>
    <xf borderId="4" fillId="4" fontId="22" numFmtId="0" xfId="0" applyAlignment="1" applyBorder="1" applyFont="1">
      <alignment horizontal="center" shrinkToFit="0" vertical="center" wrapText="0"/>
    </xf>
    <xf borderId="3" fillId="4" fontId="23" numFmtId="0" xfId="0" applyAlignment="1" applyBorder="1" applyFont="1">
      <alignment horizontal="center" shrinkToFit="0" vertical="center" wrapText="0"/>
    </xf>
    <xf borderId="3" fillId="14" fontId="24" numFmtId="0" xfId="0" applyAlignment="1" applyBorder="1" applyFill="1" applyFont="1">
      <alignment horizontal="left" shrinkToFit="0" vertical="center" wrapText="0"/>
    </xf>
    <xf borderId="4" fillId="14" fontId="24" numFmtId="0" xfId="0" applyAlignment="1" applyBorder="1" applyFont="1">
      <alignment horizontal="center" shrinkToFit="0" vertical="center" wrapText="0"/>
    </xf>
    <xf borderId="4" fillId="3" fontId="22" numFmtId="0" xfId="0" applyAlignment="1" applyBorder="1" applyFont="1">
      <alignment horizontal="center" shrinkToFit="0" vertical="center" wrapText="0"/>
    </xf>
    <xf borderId="3" fillId="3" fontId="23" numFmtId="0" xfId="0" applyAlignment="1" applyBorder="1" applyFont="1">
      <alignment horizontal="center" shrinkToFit="0" vertical="center" wrapText="0"/>
    </xf>
    <xf borderId="3" fillId="15" fontId="25" numFmtId="0" xfId="0" applyAlignment="1" applyBorder="1" applyFill="1" applyFont="1">
      <alignment horizontal="left" shrinkToFit="0" vertical="center" wrapText="0"/>
    </xf>
    <xf borderId="4" fillId="15" fontId="25" numFmtId="0" xfId="0" applyAlignment="1" applyBorder="1" applyFont="1">
      <alignment horizontal="center" shrinkToFit="0" vertical="center" wrapText="0"/>
    </xf>
    <xf borderId="3" fillId="16" fontId="26" numFmtId="0" xfId="0" applyAlignment="1" applyBorder="1" applyFill="1" applyFont="1">
      <alignment horizontal="left" readingOrder="0" shrinkToFit="0" vertical="center" wrapText="0"/>
    </xf>
    <xf borderId="4" fillId="16" fontId="26" numFmtId="0" xfId="0" applyAlignment="1" applyBorder="1" applyFont="1">
      <alignment horizontal="center" shrinkToFit="0" vertical="center" wrapText="0"/>
    </xf>
    <xf borderId="3" fillId="9" fontId="21" numFmtId="0" xfId="0" applyAlignment="1" applyBorder="1" applyFont="1">
      <alignment horizontal="left" readingOrder="0" shrinkToFit="0" vertical="center" wrapText="0"/>
    </xf>
    <xf borderId="4" fillId="9" fontId="21" numFmtId="0" xfId="0" applyAlignment="1" applyBorder="1" applyFont="1">
      <alignment horizontal="center" shrinkToFit="0" vertical="center" wrapText="0"/>
    </xf>
    <xf borderId="3" fillId="13" fontId="27" numFmtId="0" xfId="0" applyAlignment="1" applyBorder="1" applyFont="1">
      <alignment horizontal="left" readingOrder="0" shrinkToFit="0" vertical="center" wrapText="0"/>
    </xf>
    <xf borderId="4" fillId="13" fontId="27" numFmtId="0" xfId="0" applyAlignment="1" applyBorder="1" applyFont="1">
      <alignment horizontal="center" shrinkToFit="0" vertical="center" wrapText="0"/>
    </xf>
    <xf borderId="3" fillId="14" fontId="24" numFmtId="0" xfId="0" applyAlignment="1" applyBorder="1" applyFont="1">
      <alignment horizontal="left" readingOrder="0" shrinkToFit="0" vertical="center" wrapText="0"/>
    </xf>
    <xf borderId="3" fillId="17" fontId="8" numFmtId="0" xfId="0" applyAlignment="1" applyBorder="1" applyFill="1" applyFont="1">
      <alignment horizontal="left" shrinkToFit="0" vertical="center" wrapText="0"/>
    </xf>
    <xf borderId="4" fillId="17" fontId="8" numFmtId="168" xfId="0" applyAlignment="1" applyBorder="1" applyFont="1" applyNumberFormat="1">
      <alignment horizontal="center" shrinkToFit="0" vertical="center" wrapText="0"/>
    </xf>
    <xf borderId="3" fillId="9" fontId="21" numFmtId="0" xfId="0" applyAlignment="1" applyBorder="1" applyFont="1">
      <alignment horizontal="left" shrinkToFit="0" vertical="center" wrapText="0"/>
    </xf>
    <xf borderId="3" fillId="9" fontId="21" numFmtId="0" xfId="0" applyAlignment="1" applyBorder="1" applyFont="1">
      <alignment horizontal="center" shrinkToFit="0" vertical="center" wrapText="0"/>
    </xf>
    <xf borderId="3" fillId="12" fontId="21" numFmtId="0" xfId="0" applyAlignment="1" applyBorder="1" applyFont="1">
      <alignment horizontal="left" shrinkToFit="0" vertical="center" wrapText="0"/>
    </xf>
    <xf borderId="3" fillId="12" fontId="21" numFmtId="0" xfId="0" applyAlignment="1" applyBorder="1" applyFont="1">
      <alignment horizontal="center" shrinkToFit="0" vertical="center" wrapText="0"/>
    </xf>
    <xf borderId="4" fillId="12" fontId="21" numFmtId="0" xfId="0" applyAlignment="1" applyBorder="1" applyFont="1">
      <alignment horizontal="center" shrinkToFit="0" vertical="center" wrapText="0"/>
    </xf>
    <xf borderId="3" fillId="13" fontId="27" numFmtId="0" xfId="0" applyAlignment="1" applyBorder="1" applyFont="1">
      <alignment horizontal="left" shrinkToFit="0" vertical="center" wrapText="0"/>
    </xf>
    <xf borderId="3" fillId="13" fontId="27" numFmtId="0" xfId="0" applyAlignment="1" applyBorder="1" applyFont="1">
      <alignment horizontal="center" shrinkToFit="0" vertical="center" wrapText="0"/>
    </xf>
    <xf borderId="3" fillId="17" fontId="8" numFmtId="0" xfId="0" applyAlignment="1" applyBorder="1" applyFont="1">
      <alignment horizontal="center" shrinkToFit="0" vertical="center" wrapText="0"/>
    </xf>
    <xf borderId="4" fillId="17" fontId="8" numFmtId="0" xfId="0" applyAlignment="1" applyBorder="1" applyFont="1">
      <alignment horizontal="center" shrinkToFit="0" vertical="center" wrapText="0"/>
    </xf>
    <xf borderId="3" fillId="16" fontId="26" numFmtId="0" xfId="0" applyAlignment="1" applyBorder="1" applyFont="1">
      <alignment horizontal="left" shrinkToFit="0" vertical="center" wrapText="0"/>
    </xf>
    <xf borderId="9" fillId="2" fontId="13" numFmtId="0" xfId="0" applyAlignment="1" applyBorder="1" applyFont="1">
      <alignment horizontal="center" shrinkToFit="0" vertical="center" wrapText="0"/>
    </xf>
    <xf borderId="10" fillId="9" fontId="28" numFmtId="0" xfId="0" applyAlignment="1" applyBorder="1" applyFont="1">
      <alignment horizontal="center" shrinkToFit="0" vertical="center" wrapText="0"/>
    </xf>
    <xf borderId="10" fillId="3" fontId="29" numFmtId="0" xfId="0" applyAlignment="1" applyBorder="1" applyFont="1">
      <alignment horizontal="center" shrinkToFit="0" vertical="center" wrapText="0"/>
    </xf>
    <xf borderId="10" fillId="16" fontId="30" numFmtId="0" xfId="0" applyAlignment="1" applyBorder="1" applyFont="1">
      <alignment horizontal="center" shrinkToFit="0" vertical="center" wrapText="0"/>
    </xf>
    <xf borderId="10" fillId="12" fontId="28" numFmtId="0" xfId="0" applyAlignment="1" applyBorder="1" applyFont="1">
      <alignment horizontal="center" shrinkToFit="0" vertical="center" wrapText="0"/>
    </xf>
    <xf borderId="10" fillId="15" fontId="31" numFmtId="0" xfId="0" applyAlignment="1" applyBorder="1" applyFont="1">
      <alignment horizontal="center" shrinkToFit="0" vertical="center" wrapText="0"/>
    </xf>
    <xf borderId="10" fillId="13" fontId="32" numFmtId="0" xfId="0" applyAlignment="1" applyBorder="1" applyFont="1">
      <alignment horizontal="center" shrinkToFit="0" vertical="center" wrapText="0"/>
    </xf>
    <xf borderId="10" fillId="17" fontId="33" numFmtId="0" xfId="0" applyAlignment="1" applyBorder="1" applyFont="1">
      <alignment horizontal="center" shrinkToFit="0" vertical="center" wrapText="0"/>
    </xf>
    <xf borderId="10" fillId="14" fontId="29" numFmtId="0" xfId="0" applyAlignment="1" applyBorder="1" applyFont="1">
      <alignment horizontal="center" shrinkToFit="0" vertical="center" wrapText="0"/>
    </xf>
    <xf borderId="10" fillId="3" fontId="34" numFmtId="0" xfId="0" applyAlignment="1" applyBorder="1" applyFont="1">
      <alignment horizontal="center" shrinkToFit="0" vertical="center" wrapText="0"/>
    </xf>
    <xf borderId="10" fillId="3" fontId="35" numFmtId="0" xfId="0" applyAlignment="1" applyBorder="1" applyFont="1">
      <alignment horizontal="center"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6.0"/>
    <col customWidth="1" min="2" max="2" width="75.71"/>
    <col customWidth="1" min="3" max="26" width="8.86"/>
  </cols>
  <sheetData>
    <row r="1" ht="49.5" customHeight="1">
      <c r="A1" s="1" t="s">
        <v>0</v>
      </c>
      <c r="B1" s="2"/>
      <c r="C1" s="3"/>
      <c r="D1" s="3"/>
      <c r="E1" s="3"/>
      <c r="F1" s="3"/>
      <c r="G1" s="3"/>
      <c r="H1" s="3"/>
      <c r="I1" s="3"/>
      <c r="J1" s="3"/>
      <c r="K1" s="3"/>
      <c r="L1" s="3"/>
      <c r="M1" s="3"/>
      <c r="N1" s="3"/>
      <c r="O1" s="3"/>
      <c r="P1" s="3"/>
      <c r="Q1" s="3"/>
      <c r="R1" s="3"/>
      <c r="S1" s="3"/>
      <c r="T1" s="3"/>
      <c r="U1" s="3"/>
      <c r="V1" s="3"/>
      <c r="W1" s="3"/>
      <c r="X1" s="3"/>
      <c r="Y1" s="3"/>
      <c r="Z1" s="3"/>
    </row>
    <row r="2" ht="24.75" customHeight="1">
      <c r="A2" s="4" t="s">
        <v>1</v>
      </c>
      <c r="B2" s="2"/>
      <c r="C2" s="3"/>
      <c r="D2" s="3"/>
      <c r="E2" s="3"/>
      <c r="F2" s="3"/>
      <c r="G2" s="3"/>
      <c r="H2" s="3"/>
      <c r="I2" s="3"/>
      <c r="J2" s="3"/>
      <c r="K2" s="3"/>
      <c r="L2" s="3"/>
      <c r="M2" s="3"/>
      <c r="N2" s="3"/>
      <c r="O2" s="3"/>
      <c r="P2" s="3"/>
      <c r="Q2" s="3"/>
      <c r="R2" s="3"/>
      <c r="S2" s="3"/>
      <c r="T2" s="3"/>
      <c r="U2" s="3"/>
      <c r="V2" s="3"/>
      <c r="W2" s="3"/>
      <c r="X2" s="3"/>
      <c r="Y2" s="3"/>
      <c r="Z2" s="3"/>
    </row>
    <row r="3" ht="24.75" customHeight="1">
      <c r="A3" s="3"/>
      <c r="B3" s="3"/>
      <c r="C3" s="3"/>
      <c r="D3" s="3"/>
      <c r="E3" s="3"/>
      <c r="F3" s="3"/>
      <c r="G3" s="3"/>
      <c r="H3" s="3"/>
      <c r="I3" s="3"/>
      <c r="J3" s="3"/>
      <c r="K3" s="3"/>
      <c r="L3" s="3"/>
      <c r="M3" s="3"/>
      <c r="N3" s="3"/>
      <c r="O3" s="3"/>
      <c r="P3" s="3"/>
      <c r="Q3" s="3"/>
      <c r="R3" s="3"/>
      <c r="S3" s="3"/>
      <c r="T3" s="3"/>
      <c r="U3" s="3"/>
      <c r="V3" s="3"/>
      <c r="W3" s="3"/>
      <c r="X3" s="3"/>
      <c r="Y3" s="3"/>
      <c r="Z3" s="3"/>
    </row>
    <row r="4" ht="24.75" customHeight="1">
      <c r="A4" s="5" t="s">
        <v>2</v>
      </c>
      <c r="B4" s="6" t="s">
        <v>3</v>
      </c>
      <c r="C4" s="3"/>
      <c r="D4" s="3"/>
      <c r="E4" s="3"/>
      <c r="F4" s="3"/>
      <c r="G4" s="3"/>
      <c r="H4" s="3"/>
      <c r="I4" s="3"/>
      <c r="J4" s="3"/>
      <c r="K4" s="3"/>
      <c r="L4" s="3"/>
      <c r="M4" s="3"/>
      <c r="N4" s="3"/>
      <c r="O4" s="3"/>
      <c r="P4" s="3"/>
      <c r="Q4" s="3"/>
      <c r="R4" s="3"/>
      <c r="S4" s="3"/>
      <c r="T4" s="3"/>
      <c r="U4" s="3"/>
      <c r="V4" s="3"/>
      <c r="W4" s="3"/>
      <c r="X4" s="3"/>
      <c r="Y4" s="3"/>
      <c r="Z4" s="3"/>
    </row>
    <row r="5" ht="24.75" customHeight="1">
      <c r="A5" s="5" t="s">
        <v>4</v>
      </c>
      <c r="B5" s="6" t="s">
        <v>5</v>
      </c>
      <c r="C5" s="3"/>
      <c r="D5" s="3"/>
      <c r="E5" s="3"/>
      <c r="F5" s="3"/>
      <c r="G5" s="3"/>
      <c r="H5" s="3"/>
      <c r="I5" s="3"/>
      <c r="J5" s="3"/>
      <c r="K5" s="3"/>
      <c r="L5" s="3"/>
      <c r="M5" s="3"/>
      <c r="N5" s="3"/>
      <c r="O5" s="3"/>
      <c r="P5" s="3"/>
      <c r="Q5" s="3"/>
      <c r="R5" s="3"/>
      <c r="S5" s="3"/>
      <c r="T5" s="3"/>
      <c r="U5" s="3"/>
      <c r="V5" s="3"/>
      <c r="W5" s="3"/>
      <c r="X5" s="3"/>
      <c r="Y5" s="3"/>
      <c r="Z5" s="3"/>
    </row>
    <row r="6" ht="24.75" customHeight="1">
      <c r="A6" s="7" t="s">
        <v>6</v>
      </c>
      <c r="B6" s="8" t="s">
        <v>7</v>
      </c>
      <c r="C6" s="3"/>
      <c r="D6" s="3"/>
      <c r="E6" s="3"/>
      <c r="F6" s="3"/>
      <c r="G6" s="3"/>
      <c r="H6" s="3"/>
      <c r="I6" s="3"/>
      <c r="J6" s="3"/>
      <c r="K6" s="3"/>
      <c r="L6" s="3"/>
      <c r="M6" s="3"/>
      <c r="N6" s="3"/>
      <c r="O6" s="3"/>
      <c r="P6" s="3"/>
      <c r="Q6" s="3"/>
      <c r="R6" s="3"/>
      <c r="S6" s="3"/>
      <c r="T6" s="3"/>
      <c r="U6" s="3"/>
      <c r="V6" s="3"/>
      <c r="W6" s="3"/>
      <c r="X6" s="3"/>
      <c r="Y6" s="3"/>
      <c r="Z6" s="3"/>
    </row>
    <row r="7" ht="24.75" customHeight="1">
      <c r="A7" s="5" t="s">
        <v>8</v>
      </c>
      <c r="B7" s="9">
        <v>46162.0</v>
      </c>
      <c r="C7" s="3"/>
      <c r="D7" s="3"/>
      <c r="E7" s="3"/>
      <c r="F7" s="3"/>
      <c r="G7" s="3"/>
      <c r="H7" s="3"/>
      <c r="I7" s="3"/>
      <c r="J7" s="3"/>
      <c r="K7" s="3"/>
      <c r="L7" s="3"/>
      <c r="M7" s="3"/>
      <c r="N7" s="3"/>
      <c r="O7" s="3"/>
      <c r="P7" s="3"/>
      <c r="Q7" s="3"/>
      <c r="R7" s="3"/>
      <c r="S7" s="3"/>
      <c r="T7" s="3"/>
      <c r="U7" s="3"/>
      <c r="V7" s="3"/>
      <c r="W7" s="3"/>
      <c r="X7" s="3"/>
      <c r="Y7" s="3"/>
      <c r="Z7" s="3"/>
    </row>
    <row r="8" ht="24.75" customHeight="1">
      <c r="A8" s="5" t="s">
        <v>9</v>
      </c>
      <c r="B8" s="9">
        <v>46163.0</v>
      </c>
      <c r="C8" s="3"/>
      <c r="D8" s="3"/>
      <c r="E8" s="3"/>
      <c r="F8" s="3"/>
      <c r="G8" s="3"/>
      <c r="H8" s="3"/>
      <c r="I8" s="3"/>
      <c r="J8" s="3"/>
      <c r="K8" s="3"/>
      <c r="L8" s="3"/>
      <c r="M8" s="3"/>
      <c r="N8" s="3"/>
      <c r="O8" s="3"/>
      <c r="P8" s="3"/>
      <c r="Q8" s="3"/>
      <c r="R8" s="3"/>
      <c r="S8" s="3"/>
      <c r="T8" s="3"/>
      <c r="U8" s="3"/>
      <c r="V8" s="3"/>
      <c r="W8" s="3"/>
      <c r="X8" s="3"/>
      <c r="Y8" s="3"/>
      <c r="Z8" s="3"/>
    </row>
    <row r="9" ht="24.75" customHeight="1">
      <c r="A9" s="5" t="s">
        <v>10</v>
      </c>
      <c r="B9" s="6" t="s">
        <v>11</v>
      </c>
      <c r="C9" s="3"/>
      <c r="D9" s="3"/>
      <c r="E9" s="3"/>
      <c r="F9" s="3"/>
      <c r="G9" s="3"/>
      <c r="H9" s="3"/>
      <c r="I9" s="3"/>
      <c r="J9" s="3"/>
      <c r="K9" s="3"/>
      <c r="L9" s="3"/>
      <c r="M9" s="3"/>
      <c r="N9" s="3"/>
      <c r="O9" s="3"/>
      <c r="P9" s="3"/>
      <c r="Q9" s="3"/>
      <c r="R9" s="3"/>
      <c r="S9" s="3"/>
      <c r="T9" s="3"/>
      <c r="U9" s="3"/>
      <c r="V9" s="3"/>
      <c r="W9" s="3"/>
      <c r="X9" s="3"/>
      <c r="Y9" s="3"/>
      <c r="Z9" s="3"/>
    </row>
    <row r="10" ht="24.7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ht="24.75" customHeight="1">
      <c r="A11" s="10" t="s">
        <v>12</v>
      </c>
      <c r="B11" s="11"/>
      <c r="C11" s="3"/>
      <c r="D11" s="3"/>
      <c r="E11" s="3"/>
      <c r="F11" s="3"/>
      <c r="G11" s="3"/>
      <c r="H11" s="3"/>
      <c r="I11" s="3"/>
      <c r="J11" s="3"/>
      <c r="K11" s="3"/>
      <c r="L11" s="3"/>
      <c r="M11" s="3"/>
      <c r="N11" s="3"/>
      <c r="O11" s="3"/>
      <c r="P11" s="3"/>
      <c r="Q11" s="3"/>
      <c r="R11" s="3"/>
      <c r="S11" s="3"/>
      <c r="T11" s="3"/>
      <c r="U11" s="3"/>
      <c r="V11" s="3"/>
      <c r="W11" s="3"/>
      <c r="X11" s="3"/>
      <c r="Y11" s="3"/>
      <c r="Z11" s="3"/>
    </row>
    <row r="12" ht="24.75" customHeight="1">
      <c r="A12" s="12" t="s">
        <v>13</v>
      </c>
      <c r="B12" s="13" t="s">
        <v>14</v>
      </c>
      <c r="C12" s="3"/>
      <c r="D12" s="3"/>
      <c r="E12" s="3"/>
      <c r="F12" s="3"/>
      <c r="G12" s="3"/>
      <c r="H12" s="3"/>
      <c r="I12" s="3"/>
      <c r="J12" s="3"/>
      <c r="K12" s="3"/>
      <c r="L12" s="3"/>
      <c r="M12" s="3"/>
      <c r="N12" s="3"/>
      <c r="O12" s="3"/>
      <c r="P12" s="3"/>
      <c r="Q12" s="3"/>
      <c r="R12" s="3"/>
      <c r="S12" s="3"/>
      <c r="T12" s="3"/>
      <c r="U12" s="3"/>
      <c r="V12" s="3"/>
      <c r="W12" s="3"/>
      <c r="X12" s="3"/>
      <c r="Y12" s="3"/>
      <c r="Z12" s="3"/>
    </row>
    <row r="13" ht="24.75" customHeight="1">
      <c r="A13" s="14" t="s">
        <v>15</v>
      </c>
      <c r="B13" s="15" t="s">
        <v>16</v>
      </c>
      <c r="C13" s="3"/>
      <c r="D13" s="3"/>
      <c r="E13" s="3"/>
      <c r="F13" s="3"/>
      <c r="G13" s="3"/>
      <c r="H13" s="3"/>
      <c r="I13" s="3"/>
      <c r="J13" s="3"/>
      <c r="K13" s="3"/>
      <c r="L13" s="3"/>
      <c r="M13" s="3"/>
      <c r="N13" s="3"/>
      <c r="O13" s="3"/>
      <c r="P13" s="3"/>
      <c r="Q13" s="3"/>
      <c r="R13" s="3"/>
      <c r="S13" s="3"/>
      <c r="T13" s="3"/>
      <c r="U13" s="3"/>
      <c r="V13" s="3"/>
      <c r="W13" s="3"/>
      <c r="X13" s="3"/>
      <c r="Y13" s="3"/>
      <c r="Z13" s="3"/>
    </row>
    <row r="14" ht="24.75" customHeight="1">
      <c r="A14" s="12" t="s">
        <v>17</v>
      </c>
      <c r="B14" s="13" t="s">
        <v>18</v>
      </c>
      <c r="C14" s="3"/>
      <c r="D14" s="3"/>
      <c r="E14" s="3"/>
      <c r="F14" s="3"/>
      <c r="G14" s="3"/>
      <c r="H14" s="3"/>
      <c r="I14" s="3"/>
      <c r="J14" s="3"/>
      <c r="K14" s="3"/>
      <c r="L14" s="3"/>
      <c r="M14" s="3"/>
      <c r="N14" s="3"/>
      <c r="O14" s="3"/>
      <c r="P14" s="3"/>
      <c r="Q14" s="3"/>
      <c r="R14" s="3"/>
      <c r="S14" s="3"/>
      <c r="T14" s="3"/>
      <c r="U14" s="3"/>
      <c r="V14" s="3"/>
      <c r="W14" s="3"/>
      <c r="X14" s="3"/>
      <c r="Y14" s="3"/>
      <c r="Z14" s="3"/>
    </row>
    <row r="15" ht="24.75" customHeight="1">
      <c r="A15" s="14" t="s">
        <v>19</v>
      </c>
      <c r="B15" s="15" t="s">
        <v>20</v>
      </c>
      <c r="C15" s="3"/>
      <c r="D15" s="3"/>
      <c r="E15" s="3"/>
      <c r="F15" s="3"/>
      <c r="G15" s="3"/>
      <c r="H15" s="3"/>
      <c r="I15" s="3"/>
      <c r="J15" s="3"/>
      <c r="K15" s="3"/>
      <c r="L15" s="3"/>
      <c r="M15" s="3"/>
      <c r="N15" s="3"/>
      <c r="O15" s="3"/>
      <c r="P15" s="3"/>
      <c r="Q15" s="3"/>
      <c r="R15" s="3"/>
      <c r="S15" s="3"/>
      <c r="T15" s="3"/>
      <c r="U15" s="3"/>
      <c r="V15" s="3"/>
      <c r="W15" s="3"/>
      <c r="X15" s="3"/>
      <c r="Y15" s="3"/>
      <c r="Z15" s="3"/>
    </row>
    <row r="16" ht="24.75" customHeight="1">
      <c r="A16" s="12" t="s">
        <v>21</v>
      </c>
      <c r="B16" s="13" t="s">
        <v>22</v>
      </c>
      <c r="C16" s="3"/>
      <c r="D16" s="3"/>
      <c r="E16" s="3"/>
      <c r="F16" s="3"/>
      <c r="G16" s="3"/>
      <c r="H16" s="3"/>
      <c r="I16" s="3"/>
      <c r="J16" s="3"/>
      <c r="K16" s="3"/>
      <c r="L16" s="3"/>
      <c r="M16" s="3"/>
      <c r="N16" s="3"/>
      <c r="O16" s="3"/>
      <c r="P16" s="3"/>
      <c r="Q16" s="3"/>
      <c r="R16" s="3"/>
      <c r="S16" s="3"/>
      <c r="T16" s="3"/>
      <c r="U16" s="3"/>
      <c r="V16" s="3"/>
      <c r="W16" s="3"/>
      <c r="X16" s="3"/>
      <c r="Y16" s="3"/>
      <c r="Z16" s="3"/>
    </row>
    <row r="17" ht="24.7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24.75" customHeight="1">
      <c r="A18" s="10" t="s">
        <v>23</v>
      </c>
      <c r="B18" s="11"/>
      <c r="C18" s="3"/>
      <c r="D18" s="3"/>
      <c r="E18" s="3"/>
      <c r="F18" s="3"/>
      <c r="G18" s="3"/>
      <c r="H18" s="3"/>
      <c r="I18" s="3"/>
      <c r="J18" s="3"/>
      <c r="K18" s="3"/>
      <c r="L18" s="3"/>
      <c r="M18" s="3"/>
      <c r="N18" s="3"/>
      <c r="O18" s="3"/>
      <c r="P18" s="3"/>
      <c r="Q18" s="3"/>
      <c r="R18" s="3"/>
      <c r="S18" s="3"/>
      <c r="T18" s="3"/>
      <c r="U18" s="3"/>
      <c r="V18" s="3"/>
      <c r="W18" s="3"/>
      <c r="X18" s="3"/>
      <c r="Y18" s="3"/>
      <c r="Z18" s="3"/>
    </row>
    <row r="19" ht="24.75" customHeight="1">
      <c r="A19" s="16" t="s">
        <v>24</v>
      </c>
      <c r="B19" s="17" t="s">
        <v>25</v>
      </c>
      <c r="C19" s="3"/>
      <c r="D19" s="3"/>
      <c r="E19" s="3"/>
      <c r="F19" s="3"/>
      <c r="G19" s="3"/>
      <c r="H19" s="3"/>
      <c r="I19" s="3"/>
      <c r="J19" s="3"/>
      <c r="K19" s="3"/>
      <c r="L19" s="3"/>
      <c r="M19" s="3"/>
      <c r="N19" s="3"/>
      <c r="O19" s="3"/>
      <c r="P19" s="3"/>
      <c r="Q19" s="3"/>
      <c r="R19" s="3"/>
      <c r="S19" s="3"/>
      <c r="T19" s="3"/>
      <c r="U19" s="3"/>
      <c r="V19" s="3"/>
      <c r="W19" s="3"/>
      <c r="X19" s="3"/>
      <c r="Y19" s="3"/>
      <c r="Z19" s="3"/>
    </row>
    <row r="20" ht="24.75" customHeight="1">
      <c r="A20" s="18" t="s">
        <v>26</v>
      </c>
      <c r="B20" s="19" t="s">
        <v>27</v>
      </c>
      <c r="C20" s="3"/>
      <c r="D20" s="3"/>
      <c r="E20" s="3"/>
      <c r="F20" s="3"/>
      <c r="G20" s="3"/>
      <c r="H20" s="3"/>
      <c r="I20" s="3"/>
      <c r="J20" s="3"/>
      <c r="K20" s="3"/>
      <c r="L20" s="3"/>
      <c r="M20" s="3"/>
      <c r="N20" s="3"/>
      <c r="O20" s="3"/>
      <c r="P20" s="3"/>
      <c r="Q20" s="3"/>
      <c r="R20" s="3"/>
      <c r="S20" s="3"/>
      <c r="T20" s="3"/>
      <c r="U20" s="3"/>
      <c r="V20" s="3"/>
      <c r="W20" s="3"/>
      <c r="X20" s="3"/>
      <c r="Y20" s="3"/>
      <c r="Z20" s="3"/>
    </row>
    <row r="21" ht="24.75" customHeight="1">
      <c r="A21" s="16" t="s">
        <v>28</v>
      </c>
      <c r="B21" s="17" t="s">
        <v>29</v>
      </c>
      <c r="C21" s="3"/>
      <c r="D21" s="3"/>
      <c r="E21" s="3"/>
      <c r="F21" s="3"/>
      <c r="G21" s="3"/>
      <c r="H21" s="3"/>
      <c r="I21" s="3"/>
      <c r="J21" s="3"/>
      <c r="K21" s="3"/>
      <c r="L21" s="3"/>
      <c r="M21" s="3"/>
      <c r="N21" s="3"/>
      <c r="O21" s="3"/>
      <c r="P21" s="3"/>
      <c r="Q21" s="3"/>
      <c r="R21" s="3"/>
      <c r="S21" s="3"/>
      <c r="T21" s="3"/>
      <c r="U21" s="3"/>
      <c r="V21" s="3"/>
      <c r="W21" s="3"/>
      <c r="X21" s="3"/>
      <c r="Y21" s="3"/>
      <c r="Z21" s="3"/>
    </row>
    <row r="22" ht="24.75" customHeight="1">
      <c r="A22" s="18" t="s">
        <v>30</v>
      </c>
      <c r="B22" s="19" t="s">
        <v>31</v>
      </c>
      <c r="C22" s="3"/>
      <c r="D22" s="3"/>
      <c r="E22" s="3"/>
      <c r="F22" s="3"/>
      <c r="G22" s="3"/>
      <c r="H22" s="3"/>
      <c r="I22" s="3"/>
      <c r="J22" s="3"/>
      <c r="K22" s="3"/>
      <c r="L22" s="3"/>
      <c r="M22" s="3"/>
      <c r="N22" s="3"/>
      <c r="O22" s="3"/>
      <c r="P22" s="3"/>
      <c r="Q22" s="3"/>
      <c r="R22" s="3"/>
      <c r="S22" s="3"/>
      <c r="T22" s="3"/>
      <c r="U22" s="3"/>
      <c r="V22" s="3"/>
      <c r="W22" s="3"/>
      <c r="X22" s="3"/>
      <c r="Y22" s="3"/>
      <c r="Z22" s="3"/>
    </row>
    <row r="23" ht="24.75" customHeight="1">
      <c r="A23" s="16" t="s">
        <v>32</v>
      </c>
      <c r="B23" s="17" t="s">
        <v>33</v>
      </c>
      <c r="C23" s="3"/>
      <c r="D23" s="3"/>
      <c r="E23" s="3"/>
      <c r="F23" s="3"/>
      <c r="G23" s="3"/>
      <c r="H23" s="3"/>
      <c r="I23" s="3"/>
      <c r="J23" s="3"/>
      <c r="K23" s="3"/>
      <c r="L23" s="3"/>
      <c r="M23" s="3"/>
      <c r="N23" s="3"/>
      <c r="O23" s="3"/>
      <c r="P23" s="3"/>
      <c r="Q23" s="3"/>
      <c r="R23" s="3"/>
      <c r="S23" s="3"/>
      <c r="T23" s="3"/>
      <c r="U23" s="3"/>
      <c r="V23" s="3"/>
      <c r="W23" s="3"/>
      <c r="X23" s="3"/>
      <c r="Y23" s="3"/>
      <c r="Z23" s="3"/>
    </row>
    <row r="24" ht="24.75" customHeight="1">
      <c r="A24" s="18" t="s">
        <v>34</v>
      </c>
      <c r="B24" s="19" t="s">
        <v>35</v>
      </c>
      <c r="C24" s="3"/>
      <c r="D24" s="3"/>
      <c r="E24" s="3"/>
      <c r="F24" s="3"/>
      <c r="G24" s="3"/>
      <c r="H24" s="3"/>
      <c r="I24" s="3"/>
      <c r="J24" s="3"/>
      <c r="K24" s="3"/>
      <c r="L24" s="3"/>
      <c r="M24" s="3"/>
      <c r="N24" s="3"/>
      <c r="O24" s="3"/>
      <c r="P24" s="3"/>
      <c r="Q24" s="3"/>
      <c r="R24" s="3"/>
      <c r="S24" s="3"/>
      <c r="T24" s="3"/>
      <c r="U24" s="3"/>
      <c r="V24" s="3"/>
      <c r="W24" s="3"/>
      <c r="X24" s="3"/>
      <c r="Y24" s="3"/>
      <c r="Z24" s="3"/>
    </row>
    <row r="25" ht="24.75" customHeight="1">
      <c r="A25" s="20" t="s">
        <v>36</v>
      </c>
      <c r="B25" s="21" t="s">
        <v>37</v>
      </c>
      <c r="C25" s="3"/>
      <c r="D25" s="3"/>
      <c r="E25" s="3"/>
      <c r="F25" s="3"/>
      <c r="G25" s="3"/>
      <c r="H25" s="3"/>
      <c r="I25" s="3"/>
      <c r="J25" s="3"/>
      <c r="K25" s="3"/>
      <c r="L25" s="3"/>
      <c r="M25" s="3"/>
      <c r="N25" s="3"/>
      <c r="O25" s="3"/>
      <c r="P25" s="3"/>
      <c r="Q25" s="3"/>
      <c r="R25" s="3"/>
      <c r="S25" s="3"/>
      <c r="T25" s="3"/>
      <c r="U25" s="3"/>
      <c r="V25" s="3"/>
      <c r="W25" s="3"/>
      <c r="X25" s="3"/>
      <c r="Y25" s="3"/>
      <c r="Z25" s="3"/>
    </row>
    <row r="26" ht="24.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24.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24.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24.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24.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24.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24.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24.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24.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24.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24.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24.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24.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24.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24.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24.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24.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24.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24.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24.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24.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24.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24.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24.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24.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24.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24.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24.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24.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24.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24.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24.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24.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24.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24.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24.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24.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24.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24.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24.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24.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24.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24.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24.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24.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24.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24.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24.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24.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24.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24.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24.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24.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24.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24.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24.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24.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24.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24.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24.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24.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24.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24.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24.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24.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24.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24.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24.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24.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24.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24.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24.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24.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24.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24.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24.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24.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24.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24.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24.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24.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24.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24.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24.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24.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24.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24.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24.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24.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24.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24.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24.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24.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24.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24.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24.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24.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24.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24.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24.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24.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24.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24.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24.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24.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24.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24.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24.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24.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24.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24.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24.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24.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24.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24.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24.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24.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24.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24.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24.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24.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24.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24.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24.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24.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24.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24.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24.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24.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24.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24.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24.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24.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24.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24.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24.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24.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24.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24.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24.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24.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24.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24.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24.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24.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24.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24.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24.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24.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24.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24.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24.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24.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24.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24.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24.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24.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24.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24.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24.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24.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24.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24.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24.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24.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24.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24.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24.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24.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24.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24.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24.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24.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24.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24.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24.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24.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24.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24.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24.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24.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24.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24.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24.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24.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24.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24.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24.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24.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24.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24.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24.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24.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24.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24.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24.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24.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24.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24.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24.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24.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24.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24.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24.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24.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24.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24.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24.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24.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24.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24.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24.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24.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24.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24.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24.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24.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24.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24.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24.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24.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24.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24.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24.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24.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24.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24.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24.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24.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24.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24.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24.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24.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24.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24.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24.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24.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24.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24.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24.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24.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24.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24.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24.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24.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24.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24.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24.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24.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24.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24.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24.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24.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24.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24.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24.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24.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24.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24.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24.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24.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24.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24.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24.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24.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24.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24.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24.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24.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24.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24.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24.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24.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24.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24.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24.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24.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24.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24.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24.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24.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24.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24.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24.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24.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24.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24.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24.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24.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24.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24.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24.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24.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24.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24.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24.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24.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24.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24.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24.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24.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24.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24.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24.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24.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24.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24.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24.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24.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24.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24.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24.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24.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24.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24.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24.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24.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24.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24.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24.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24.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24.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24.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24.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24.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24.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24.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24.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24.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24.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24.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24.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24.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24.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24.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24.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24.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24.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24.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24.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24.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24.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24.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24.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24.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24.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24.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24.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24.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24.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24.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24.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24.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24.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24.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24.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24.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24.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24.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24.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24.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24.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24.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24.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24.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24.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24.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24.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24.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24.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24.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24.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24.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24.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24.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24.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24.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24.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24.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24.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24.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24.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24.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24.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24.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24.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24.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24.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24.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24.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24.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24.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24.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24.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24.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24.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24.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24.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24.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24.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24.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24.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24.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24.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24.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24.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24.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24.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24.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24.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24.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24.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24.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24.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24.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24.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24.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24.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24.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24.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24.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24.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24.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24.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24.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24.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24.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24.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24.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24.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24.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24.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24.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24.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24.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24.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24.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24.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24.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24.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24.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24.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24.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24.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24.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24.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24.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24.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24.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24.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24.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24.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24.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24.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24.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24.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24.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24.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24.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24.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24.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24.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24.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24.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24.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24.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24.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24.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24.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24.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24.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24.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24.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24.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24.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24.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24.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24.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24.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24.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24.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24.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24.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24.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24.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24.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24.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24.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24.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24.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24.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24.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24.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24.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24.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24.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24.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24.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24.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24.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24.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24.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24.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24.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24.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24.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24.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24.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24.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24.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24.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24.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24.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24.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24.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24.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24.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24.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24.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24.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24.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24.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24.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24.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24.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24.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24.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24.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24.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24.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24.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24.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24.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24.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24.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24.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24.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24.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24.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24.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24.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24.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24.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24.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24.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24.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24.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24.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24.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24.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24.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24.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24.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24.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24.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24.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24.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24.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24.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24.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24.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24.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24.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24.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24.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24.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24.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24.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24.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24.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24.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24.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24.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24.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24.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24.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24.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24.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24.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24.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24.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24.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24.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24.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24.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24.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24.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24.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24.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24.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24.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24.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24.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24.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24.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24.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24.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24.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24.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24.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24.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24.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24.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24.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24.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24.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24.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24.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24.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24.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24.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24.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24.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24.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24.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24.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24.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24.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24.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24.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24.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24.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24.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24.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24.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24.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24.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24.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24.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24.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24.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24.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24.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24.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24.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24.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24.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24.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24.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24.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24.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24.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24.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24.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24.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24.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24.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24.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24.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24.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24.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24.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24.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24.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24.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24.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24.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24.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24.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24.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24.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24.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24.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24.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24.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24.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24.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24.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24.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24.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24.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24.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24.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24.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24.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24.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24.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24.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24.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24.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24.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24.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24.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24.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24.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24.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24.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24.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24.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24.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24.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24.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24.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24.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24.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24.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24.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24.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24.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24.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24.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24.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24.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24.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24.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24.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24.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24.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24.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24.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24.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24.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24.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24.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24.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24.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24.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24.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24.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24.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24.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24.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24.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24.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24.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24.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24.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24.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24.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24.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24.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24.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24.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24.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24.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24.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24.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24.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24.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24.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24.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24.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24.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24.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24.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24.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24.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24.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24.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24.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24.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24.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24.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24.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24.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24.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24.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24.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24.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24.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24.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24.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24.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24.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24.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24.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24.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24.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24.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24.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24.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24.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24.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24.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24.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24.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24.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24.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24.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24.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24.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24.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24.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24.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24.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24.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24.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24.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24.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24.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24.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24.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24.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24.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24.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24.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24.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24.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24.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24.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24.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24.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24.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24.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24.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24.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24.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24.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24.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24.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24.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24.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24.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24.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24.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24.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24.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24.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24.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24.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24.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24.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24.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24.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24.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24.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24.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24.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24.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24.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24.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24.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24.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24.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24.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24.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24.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24.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24.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24.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24.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24.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24.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24.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24.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24.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24.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24.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24.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24.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24.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24.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24.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24.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24.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24.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24.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24.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24.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24.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24.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24.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24.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24.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24.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24.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24.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24.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24.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24.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24.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24.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24.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24.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24.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24.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24.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24.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24.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24.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24.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24.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24.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24.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24.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24.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24.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24.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24.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24.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24.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24.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24.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24.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24.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24.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24.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24.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24.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24.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24.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24.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24.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24.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24.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24.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24.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24.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24.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24.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24.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24.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24.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24.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24.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24.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24.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24.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24.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24.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24.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24.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24.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24.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24.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24.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24.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24.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24.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24.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24.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24.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24.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24.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24.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24.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24.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24.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24.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24.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24.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24.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24.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24.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24.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24.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24.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24.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24.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24.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24.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24.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24.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24.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24.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24.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24.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24.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24.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24.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24.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24.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24.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24.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24.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24.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24.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24.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24.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24.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24.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24.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24.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24.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24.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4">
    <mergeCell ref="A1:B1"/>
    <mergeCell ref="A2:B2"/>
    <mergeCell ref="A11:B11"/>
    <mergeCell ref="A18:B18"/>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4.86"/>
    <col customWidth="1" min="2" max="2" width="32.0"/>
    <col customWidth="1" min="3" max="3" width="16.71"/>
    <col customWidth="1" min="4" max="4" width="12.14"/>
    <col customWidth="1" min="5" max="5" width="12.71"/>
    <col customWidth="1" min="6" max="6" width="13.57"/>
    <col customWidth="1" min="7" max="7" width="34.71"/>
    <col customWidth="1" min="8" max="8" width="39.71"/>
    <col customWidth="1" min="9" max="9" width="27.86"/>
    <col customWidth="1" min="10" max="10" width="54.0"/>
    <col customWidth="1" min="11" max="11" width="20.71"/>
    <col customWidth="1" min="12" max="12" width="11.0"/>
    <col customWidth="1" min="13" max="13" width="19.0"/>
    <col customWidth="1" min="14" max="14" width="20.0"/>
    <col customWidth="1" min="15" max="15" width="14.43"/>
    <col customWidth="1" min="16" max="16" width="16.86"/>
    <col customWidth="1" min="17" max="17" width="27.71"/>
    <col customWidth="1" min="18" max="26" width="8.86"/>
  </cols>
  <sheetData>
    <row r="1" ht="49.5" customHeight="1">
      <c r="A1" s="22" t="s">
        <v>38</v>
      </c>
      <c r="B1" s="23"/>
      <c r="C1" s="23"/>
      <c r="D1" s="23"/>
      <c r="E1" s="23"/>
      <c r="F1" s="23"/>
      <c r="G1" s="23"/>
      <c r="H1" s="23"/>
      <c r="I1" s="23"/>
      <c r="J1" s="23"/>
      <c r="K1" s="23"/>
      <c r="L1" s="23"/>
      <c r="M1" s="23"/>
      <c r="N1" s="23"/>
      <c r="O1" s="23"/>
      <c r="P1" s="23"/>
      <c r="Q1" s="2"/>
      <c r="R1" s="3"/>
      <c r="S1" s="3"/>
      <c r="T1" s="3"/>
      <c r="U1" s="3"/>
      <c r="V1" s="3"/>
      <c r="W1" s="3"/>
      <c r="X1" s="3"/>
      <c r="Y1" s="3"/>
      <c r="Z1" s="3"/>
    </row>
    <row r="2" ht="30.0" customHeight="1">
      <c r="A2" s="24" t="s">
        <v>39</v>
      </c>
      <c r="B2" s="23"/>
      <c r="C2" s="23"/>
      <c r="D2" s="23"/>
      <c r="E2" s="23"/>
      <c r="F2" s="23"/>
      <c r="G2" s="2"/>
      <c r="H2" s="24" t="s">
        <v>40</v>
      </c>
      <c r="I2" s="23"/>
      <c r="J2" s="23"/>
      <c r="K2" s="23"/>
      <c r="L2" s="23"/>
      <c r="M2" s="2"/>
      <c r="N2" s="25" t="s">
        <v>41</v>
      </c>
      <c r="O2" s="23"/>
      <c r="P2" s="23"/>
      <c r="Q2" s="2"/>
      <c r="R2" s="3"/>
      <c r="S2" s="3"/>
      <c r="T2" s="3"/>
      <c r="U2" s="3"/>
      <c r="V2" s="3"/>
      <c r="W2" s="3"/>
      <c r="X2" s="3"/>
      <c r="Y2" s="3"/>
      <c r="Z2" s="3"/>
    </row>
    <row r="3" ht="30.0" customHeight="1">
      <c r="A3" s="26" t="s">
        <v>42</v>
      </c>
      <c r="B3" s="26" t="s">
        <v>43</v>
      </c>
      <c r="C3" s="26" t="s">
        <v>44</v>
      </c>
      <c r="D3" s="26" t="s">
        <v>45</v>
      </c>
      <c r="E3" s="26" t="s">
        <v>46</v>
      </c>
      <c r="F3" s="26" t="s">
        <v>47</v>
      </c>
      <c r="G3" s="26" t="s">
        <v>48</v>
      </c>
      <c r="H3" s="26" t="s">
        <v>49</v>
      </c>
      <c r="I3" s="26" t="s">
        <v>50</v>
      </c>
      <c r="J3" s="26" t="s">
        <v>51</v>
      </c>
      <c r="K3" s="27" t="s">
        <v>52</v>
      </c>
      <c r="L3" s="27" t="s">
        <v>53</v>
      </c>
      <c r="M3" s="27" t="s">
        <v>54</v>
      </c>
      <c r="N3" s="27" t="s">
        <v>55</v>
      </c>
      <c r="O3" s="28" t="s">
        <v>56</v>
      </c>
      <c r="P3" s="28" t="s">
        <v>57</v>
      </c>
      <c r="Q3" s="28" t="s">
        <v>58</v>
      </c>
      <c r="R3" s="3"/>
      <c r="S3" s="3"/>
      <c r="T3" s="3"/>
      <c r="U3" s="3"/>
      <c r="V3" s="3"/>
      <c r="W3" s="3"/>
      <c r="X3" s="3"/>
      <c r="Y3" s="3"/>
      <c r="Z3" s="3"/>
    </row>
    <row r="4" ht="79.5" customHeight="1">
      <c r="A4" s="29" t="s">
        <v>59</v>
      </c>
      <c r="B4" s="30" t="s">
        <v>60</v>
      </c>
      <c r="C4" s="29" t="s">
        <v>61</v>
      </c>
      <c r="D4" s="31" t="s">
        <v>62</v>
      </c>
      <c r="E4" s="31" t="s">
        <v>62</v>
      </c>
      <c r="F4" s="29" t="s">
        <v>63</v>
      </c>
      <c r="G4" s="30" t="s">
        <v>64</v>
      </c>
      <c r="H4" s="30" t="s">
        <v>65</v>
      </c>
      <c r="I4" s="30" t="s">
        <v>66</v>
      </c>
      <c r="J4" s="30" t="s">
        <v>67</v>
      </c>
      <c r="K4" s="30"/>
      <c r="L4" s="32" t="s">
        <v>68</v>
      </c>
      <c r="M4" s="29"/>
      <c r="N4" s="33" t="s">
        <v>69</v>
      </c>
      <c r="O4" s="29" t="s">
        <v>70</v>
      </c>
      <c r="P4" s="29" t="s">
        <v>71</v>
      </c>
      <c r="Q4" s="30" t="s">
        <v>72</v>
      </c>
      <c r="R4" s="3"/>
      <c r="S4" s="3"/>
      <c r="T4" s="3"/>
      <c r="U4" s="3"/>
      <c r="V4" s="3"/>
      <c r="W4" s="3"/>
      <c r="X4" s="3"/>
      <c r="Y4" s="3"/>
      <c r="Z4" s="3"/>
    </row>
    <row r="5" ht="79.5" customHeight="1">
      <c r="A5" s="34" t="s">
        <v>73</v>
      </c>
      <c r="B5" s="35" t="s">
        <v>74</v>
      </c>
      <c r="C5" s="34" t="s">
        <v>61</v>
      </c>
      <c r="D5" s="31" t="s">
        <v>62</v>
      </c>
      <c r="E5" s="31" t="s">
        <v>62</v>
      </c>
      <c r="F5" s="34" t="s">
        <v>75</v>
      </c>
      <c r="G5" s="35" t="s">
        <v>76</v>
      </c>
      <c r="H5" s="36" t="s">
        <v>77</v>
      </c>
      <c r="I5" s="36" t="s">
        <v>78</v>
      </c>
      <c r="J5" s="35" t="s">
        <v>79</v>
      </c>
      <c r="K5" s="35"/>
      <c r="L5" s="32" t="s">
        <v>68</v>
      </c>
      <c r="M5" s="34"/>
      <c r="N5" s="35"/>
      <c r="O5" s="34" t="s">
        <v>80</v>
      </c>
      <c r="P5" s="34" t="s">
        <v>71</v>
      </c>
      <c r="Q5" s="35" t="s">
        <v>81</v>
      </c>
      <c r="R5" s="3"/>
      <c r="S5" s="3"/>
      <c r="T5" s="3"/>
      <c r="U5" s="3"/>
      <c r="V5" s="3"/>
      <c r="W5" s="3"/>
      <c r="X5" s="3"/>
      <c r="Y5" s="3"/>
      <c r="Z5" s="3"/>
    </row>
    <row r="6" ht="79.5" customHeight="1">
      <c r="A6" s="29" t="s">
        <v>82</v>
      </c>
      <c r="B6" s="30" t="s">
        <v>83</v>
      </c>
      <c r="C6" s="29" t="s">
        <v>61</v>
      </c>
      <c r="D6" s="37" t="s">
        <v>84</v>
      </c>
      <c r="E6" s="37" t="s">
        <v>84</v>
      </c>
      <c r="F6" s="29" t="s">
        <v>85</v>
      </c>
      <c r="G6" s="30" t="s">
        <v>86</v>
      </c>
      <c r="H6" s="33" t="s">
        <v>87</v>
      </c>
      <c r="I6" s="33" t="s">
        <v>88</v>
      </c>
      <c r="J6" s="33" t="s">
        <v>89</v>
      </c>
      <c r="K6" s="30"/>
      <c r="L6" s="32" t="s">
        <v>68</v>
      </c>
      <c r="M6" s="29"/>
      <c r="N6" s="30"/>
      <c r="O6" s="29" t="s">
        <v>80</v>
      </c>
      <c r="P6" s="29" t="s">
        <v>71</v>
      </c>
      <c r="Q6" s="30" t="s">
        <v>90</v>
      </c>
      <c r="R6" s="3"/>
      <c r="S6" s="3"/>
      <c r="T6" s="3"/>
      <c r="U6" s="3"/>
      <c r="V6" s="3"/>
      <c r="W6" s="3"/>
      <c r="X6" s="3"/>
      <c r="Y6" s="3"/>
      <c r="Z6" s="3"/>
    </row>
    <row r="7" ht="79.5" customHeight="1">
      <c r="A7" s="34" t="s">
        <v>91</v>
      </c>
      <c r="B7" s="35" t="s">
        <v>92</v>
      </c>
      <c r="C7" s="34" t="s">
        <v>61</v>
      </c>
      <c r="D7" s="37" t="s">
        <v>84</v>
      </c>
      <c r="E7" s="38" t="s">
        <v>93</v>
      </c>
      <c r="F7" s="34" t="s">
        <v>85</v>
      </c>
      <c r="G7" s="35" t="s">
        <v>94</v>
      </c>
      <c r="H7" s="36" t="s">
        <v>95</v>
      </c>
      <c r="I7" s="36" t="s">
        <v>96</v>
      </c>
      <c r="J7" s="35" t="s">
        <v>97</v>
      </c>
      <c r="K7" s="35"/>
      <c r="L7" s="32" t="s">
        <v>68</v>
      </c>
      <c r="M7" s="34"/>
      <c r="N7" s="35"/>
      <c r="O7" s="34" t="s">
        <v>80</v>
      </c>
      <c r="P7" s="34" t="s">
        <v>71</v>
      </c>
      <c r="Q7" s="35" t="s">
        <v>98</v>
      </c>
      <c r="R7" s="3"/>
      <c r="S7" s="3"/>
      <c r="T7" s="3"/>
      <c r="U7" s="3"/>
      <c r="V7" s="3"/>
      <c r="W7" s="3"/>
      <c r="X7" s="3"/>
      <c r="Y7" s="3"/>
      <c r="Z7" s="3"/>
    </row>
    <row r="8" ht="79.5" customHeight="1">
      <c r="A8" s="29" t="s">
        <v>99</v>
      </c>
      <c r="B8" s="30" t="s">
        <v>100</v>
      </c>
      <c r="C8" s="29" t="s">
        <v>61</v>
      </c>
      <c r="D8" s="37" t="s">
        <v>84</v>
      </c>
      <c r="E8" s="38" t="s">
        <v>93</v>
      </c>
      <c r="F8" s="29" t="s">
        <v>85</v>
      </c>
      <c r="G8" s="30" t="s">
        <v>94</v>
      </c>
      <c r="H8" s="33" t="s">
        <v>101</v>
      </c>
      <c r="I8" s="33" t="s">
        <v>102</v>
      </c>
      <c r="J8" s="30" t="s">
        <v>103</v>
      </c>
      <c r="K8" s="30"/>
      <c r="L8" s="39" t="s">
        <v>104</v>
      </c>
      <c r="M8" s="29"/>
      <c r="N8" s="30"/>
      <c r="O8" s="29" t="s">
        <v>80</v>
      </c>
      <c r="P8" s="29" t="s">
        <v>71</v>
      </c>
      <c r="Q8" s="30"/>
      <c r="R8" s="3"/>
      <c r="S8" s="3"/>
      <c r="T8" s="3"/>
      <c r="U8" s="3"/>
      <c r="V8" s="3"/>
      <c r="W8" s="3"/>
      <c r="X8" s="3"/>
      <c r="Y8" s="3"/>
      <c r="Z8" s="3"/>
    </row>
    <row r="9" ht="79.5" customHeight="1">
      <c r="A9" s="34" t="s">
        <v>105</v>
      </c>
      <c r="B9" s="35" t="s">
        <v>106</v>
      </c>
      <c r="C9" s="34" t="s">
        <v>61</v>
      </c>
      <c r="D9" s="37" t="s">
        <v>84</v>
      </c>
      <c r="E9" s="37" t="s">
        <v>84</v>
      </c>
      <c r="F9" s="34" t="s">
        <v>75</v>
      </c>
      <c r="G9" s="35" t="s">
        <v>107</v>
      </c>
      <c r="H9" s="35" t="s">
        <v>108</v>
      </c>
      <c r="I9" s="36" t="s">
        <v>109</v>
      </c>
      <c r="J9" s="35" t="s">
        <v>110</v>
      </c>
      <c r="K9" s="35"/>
      <c r="L9" s="32" t="s">
        <v>68</v>
      </c>
      <c r="M9" s="34"/>
      <c r="N9" s="35"/>
      <c r="O9" s="34" t="s">
        <v>111</v>
      </c>
      <c r="P9" s="34" t="s">
        <v>112</v>
      </c>
      <c r="Q9" s="35" t="s">
        <v>113</v>
      </c>
      <c r="R9" s="3"/>
      <c r="S9" s="3"/>
      <c r="T9" s="3"/>
      <c r="U9" s="3"/>
      <c r="V9" s="3"/>
      <c r="W9" s="3"/>
      <c r="X9" s="3"/>
      <c r="Y9" s="3"/>
      <c r="Z9" s="3"/>
    </row>
    <row r="10" ht="79.5" customHeight="1">
      <c r="A10" s="29" t="s">
        <v>114</v>
      </c>
      <c r="B10" s="30" t="s">
        <v>115</v>
      </c>
      <c r="C10" s="29" t="s">
        <v>61</v>
      </c>
      <c r="D10" s="37" t="s">
        <v>84</v>
      </c>
      <c r="E10" s="37" t="s">
        <v>84</v>
      </c>
      <c r="F10" s="29" t="s">
        <v>75</v>
      </c>
      <c r="G10" s="30" t="s">
        <v>116</v>
      </c>
      <c r="H10" s="33" t="s">
        <v>117</v>
      </c>
      <c r="I10" s="33" t="s">
        <v>118</v>
      </c>
      <c r="J10" s="30" t="s">
        <v>119</v>
      </c>
      <c r="K10" s="30"/>
      <c r="L10" s="32" t="s">
        <v>68</v>
      </c>
      <c r="M10" s="29"/>
      <c r="N10" s="30"/>
      <c r="O10" s="29" t="s">
        <v>120</v>
      </c>
      <c r="P10" s="29" t="s">
        <v>71</v>
      </c>
      <c r="Q10" s="30"/>
      <c r="R10" s="3"/>
      <c r="S10" s="3"/>
      <c r="T10" s="3"/>
      <c r="U10" s="3"/>
      <c r="V10" s="3"/>
      <c r="W10" s="3"/>
      <c r="X10" s="3"/>
      <c r="Y10" s="3"/>
      <c r="Z10" s="3"/>
    </row>
    <row r="11" ht="79.5" customHeight="1">
      <c r="A11" s="34" t="s">
        <v>121</v>
      </c>
      <c r="B11" s="35" t="s">
        <v>122</v>
      </c>
      <c r="C11" s="34" t="s">
        <v>61</v>
      </c>
      <c r="D11" s="38" t="s">
        <v>93</v>
      </c>
      <c r="E11" s="38" t="s">
        <v>93</v>
      </c>
      <c r="F11" s="34" t="s">
        <v>123</v>
      </c>
      <c r="G11" s="35" t="s">
        <v>124</v>
      </c>
      <c r="H11" s="35" t="s">
        <v>125</v>
      </c>
      <c r="I11" s="35" t="s">
        <v>126</v>
      </c>
      <c r="J11" s="35" t="s">
        <v>127</v>
      </c>
      <c r="K11" s="35"/>
      <c r="L11" s="39" t="s">
        <v>104</v>
      </c>
      <c r="M11" s="34"/>
      <c r="N11" s="35"/>
      <c r="O11" s="34" t="s">
        <v>120</v>
      </c>
      <c r="P11" s="34" t="s">
        <v>112</v>
      </c>
      <c r="Q11" s="35" t="s">
        <v>128</v>
      </c>
      <c r="R11" s="3"/>
      <c r="S11" s="3"/>
      <c r="T11" s="3"/>
      <c r="U11" s="3"/>
      <c r="V11" s="3"/>
      <c r="W11" s="3"/>
      <c r="X11" s="3"/>
      <c r="Y11" s="3"/>
      <c r="Z11" s="3"/>
    </row>
    <row r="12" ht="79.5" customHeight="1">
      <c r="A12" s="29" t="s">
        <v>129</v>
      </c>
      <c r="B12" s="30" t="s">
        <v>130</v>
      </c>
      <c r="C12" s="29" t="s">
        <v>61</v>
      </c>
      <c r="D12" s="37" t="s">
        <v>84</v>
      </c>
      <c r="E12" s="37" t="s">
        <v>84</v>
      </c>
      <c r="F12" s="29" t="s">
        <v>75</v>
      </c>
      <c r="G12" s="30" t="s">
        <v>131</v>
      </c>
      <c r="H12" s="30" t="s">
        <v>132</v>
      </c>
      <c r="I12" s="30" t="s">
        <v>133</v>
      </c>
      <c r="J12" s="30" t="s">
        <v>134</v>
      </c>
      <c r="K12" s="30"/>
      <c r="L12" s="39" t="s">
        <v>104</v>
      </c>
      <c r="M12" s="29"/>
      <c r="N12" s="30"/>
      <c r="O12" s="29" t="s">
        <v>135</v>
      </c>
      <c r="P12" s="29" t="s">
        <v>71</v>
      </c>
      <c r="Q12" s="30"/>
      <c r="R12" s="3"/>
      <c r="S12" s="3"/>
      <c r="T12" s="3"/>
      <c r="U12" s="3"/>
      <c r="V12" s="3"/>
      <c r="W12" s="3"/>
      <c r="X12" s="3"/>
      <c r="Y12" s="3"/>
      <c r="Z12" s="3"/>
    </row>
    <row r="13" ht="79.5" customHeight="1">
      <c r="A13" s="34" t="s">
        <v>136</v>
      </c>
      <c r="B13" s="35" t="s">
        <v>137</v>
      </c>
      <c r="C13" s="34" t="s">
        <v>61</v>
      </c>
      <c r="D13" s="37" t="s">
        <v>84</v>
      </c>
      <c r="E13" s="37" t="s">
        <v>84</v>
      </c>
      <c r="F13" s="34" t="s">
        <v>138</v>
      </c>
      <c r="G13" s="35" t="s">
        <v>139</v>
      </c>
      <c r="H13" s="35" t="s">
        <v>140</v>
      </c>
      <c r="I13" s="35" t="s">
        <v>141</v>
      </c>
      <c r="J13" s="35" t="s">
        <v>142</v>
      </c>
      <c r="K13" s="35"/>
      <c r="L13" s="39" t="s">
        <v>104</v>
      </c>
      <c r="M13" s="34"/>
      <c r="N13" s="35"/>
      <c r="O13" s="34" t="s">
        <v>143</v>
      </c>
      <c r="P13" s="34" t="s">
        <v>71</v>
      </c>
      <c r="Q13" s="35" t="s">
        <v>144</v>
      </c>
      <c r="R13" s="3"/>
      <c r="S13" s="3"/>
      <c r="T13" s="3"/>
      <c r="U13" s="3"/>
      <c r="V13" s="3"/>
      <c r="W13" s="3"/>
      <c r="X13" s="3"/>
      <c r="Y13" s="3"/>
      <c r="Z13" s="3"/>
    </row>
    <row r="14" ht="79.5" customHeight="1">
      <c r="A14" s="29" t="s">
        <v>145</v>
      </c>
      <c r="B14" s="30" t="s">
        <v>146</v>
      </c>
      <c r="C14" s="29" t="s">
        <v>19</v>
      </c>
      <c r="D14" s="31" t="s">
        <v>62</v>
      </c>
      <c r="E14" s="31" t="s">
        <v>62</v>
      </c>
      <c r="F14" s="29" t="s">
        <v>75</v>
      </c>
      <c r="G14" s="30" t="s">
        <v>147</v>
      </c>
      <c r="H14" s="30" t="s">
        <v>148</v>
      </c>
      <c r="I14" s="33" t="s">
        <v>149</v>
      </c>
      <c r="J14" s="30" t="s">
        <v>150</v>
      </c>
      <c r="K14" s="30"/>
      <c r="L14" s="32" t="s">
        <v>68</v>
      </c>
      <c r="M14" s="29"/>
      <c r="N14" s="30"/>
      <c r="O14" s="29" t="s">
        <v>151</v>
      </c>
      <c r="P14" s="29" t="s">
        <v>71</v>
      </c>
      <c r="Q14" s="30"/>
      <c r="R14" s="3"/>
      <c r="S14" s="3"/>
      <c r="T14" s="3"/>
      <c r="U14" s="3"/>
      <c r="V14" s="3"/>
      <c r="W14" s="3"/>
      <c r="X14" s="3"/>
      <c r="Y14" s="3"/>
      <c r="Z14" s="3"/>
    </row>
    <row r="15" ht="79.5" customHeight="1">
      <c r="A15" s="34" t="s">
        <v>152</v>
      </c>
      <c r="B15" s="35" t="s">
        <v>153</v>
      </c>
      <c r="C15" s="34" t="s">
        <v>19</v>
      </c>
      <c r="D15" s="37" t="s">
        <v>84</v>
      </c>
      <c r="E15" s="38" t="s">
        <v>93</v>
      </c>
      <c r="F15" s="34" t="s">
        <v>154</v>
      </c>
      <c r="G15" s="35" t="s">
        <v>155</v>
      </c>
      <c r="H15" s="35" t="s">
        <v>156</v>
      </c>
      <c r="I15" s="35" t="s">
        <v>157</v>
      </c>
      <c r="J15" s="35" t="s">
        <v>158</v>
      </c>
      <c r="K15" s="35"/>
      <c r="L15" s="39" t="s">
        <v>104</v>
      </c>
      <c r="M15" s="34"/>
      <c r="N15" s="35"/>
      <c r="O15" s="34" t="s">
        <v>159</v>
      </c>
      <c r="P15" s="34" t="s">
        <v>112</v>
      </c>
      <c r="Q15" s="35" t="s">
        <v>160</v>
      </c>
      <c r="R15" s="3"/>
      <c r="S15" s="3"/>
      <c r="T15" s="3"/>
      <c r="U15" s="3"/>
      <c r="V15" s="3"/>
      <c r="W15" s="3"/>
      <c r="X15" s="3"/>
      <c r="Y15" s="3"/>
      <c r="Z15" s="3"/>
    </row>
    <row r="16" ht="79.5" customHeight="1">
      <c r="A16" s="29" t="s">
        <v>161</v>
      </c>
      <c r="B16" s="30" t="s">
        <v>162</v>
      </c>
      <c r="C16" s="29" t="s">
        <v>163</v>
      </c>
      <c r="D16" s="31" t="s">
        <v>62</v>
      </c>
      <c r="E16" s="31" t="s">
        <v>62</v>
      </c>
      <c r="F16" s="29" t="s">
        <v>75</v>
      </c>
      <c r="G16" s="30" t="s">
        <v>164</v>
      </c>
      <c r="H16" s="30" t="s">
        <v>165</v>
      </c>
      <c r="I16" s="30" t="s">
        <v>133</v>
      </c>
      <c r="J16" s="30" t="s">
        <v>166</v>
      </c>
      <c r="K16" s="30"/>
      <c r="L16" s="39" t="s">
        <v>104</v>
      </c>
      <c r="M16" s="29"/>
      <c r="N16" s="30"/>
      <c r="O16" s="29" t="s">
        <v>167</v>
      </c>
      <c r="P16" s="29" t="s">
        <v>71</v>
      </c>
      <c r="Q16" s="30"/>
      <c r="R16" s="3"/>
      <c r="S16" s="3"/>
      <c r="T16" s="3"/>
      <c r="U16" s="3"/>
      <c r="V16" s="3"/>
      <c r="W16" s="3"/>
      <c r="X16" s="3"/>
      <c r="Y16" s="3"/>
      <c r="Z16" s="3"/>
    </row>
    <row r="17" ht="79.5" customHeight="1">
      <c r="A17" s="34" t="s">
        <v>168</v>
      </c>
      <c r="B17" s="35" t="s">
        <v>169</v>
      </c>
      <c r="C17" s="34" t="s">
        <v>163</v>
      </c>
      <c r="D17" s="37" t="s">
        <v>84</v>
      </c>
      <c r="E17" s="38" t="s">
        <v>93</v>
      </c>
      <c r="F17" s="34" t="s">
        <v>75</v>
      </c>
      <c r="G17" s="35" t="s">
        <v>170</v>
      </c>
      <c r="H17" s="35" t="s">
        <v>171</v>
      </c>
      <c r="I17" s="35" t="s">
        <v>172</v>
      </c>
      <c r="J17" s="35" t="s">
        <v>173</v>
      </c>
      <c r="K17" s="35"/>
      <c r="L17" s="39" t="s">
        <v>104</v>
      </c>
      <c r="M17" s="34"/>
      <c r="N17" s="35"/>
      <c r="O17" s="34" t="s">
        <v>167</v>
      </c>
      <c r="P17" s="34" t="s">
        <v>71</v>
      </c>
      <c r="Q17" s="35"/>
      <c r="R17" s="3"/>
      <c r="S17" s="3"/>
      <c r="T17" s="3"/>
      <c r="U17" s="3"/>
      <c r="V17" s="3"/>
      <c r="W17" s="3"/>
      <c r="X17" s="3"/>
      <c r="Y17" s="3"/>
      <c r="Z17" s="3"/>
    </row>
    <row r="18" ht="79.5" customHeight="1">
      <c r="A18" s="29" t="s">
        <v>174</v>
      </c>
      <c r="B18" s="30" t="s">
        <v>175</v>
      </c>
      <c r="C18" s="29" t="s">
        <v>163</v>
      </c>
      <c r="D18" s="38" t="s">
        <v>93</v>
      </c>
      <c r="E18" s="38" t="s">
        <v>93</v>
      </c>
      <c r="F18" s="29" t="s">
        <v>75</v>
      </c>
      <c r="G18" s="30" t="s">
        <v>176</v>
      </c>
      <c r="H18" s="30" t="s">
        <v>177</v>
      </c>
      <c r="I18" s="30" t="s">
        <v>178</v>
      </c>
      <c r="J18" s="30" t="s">
        <v>179</v>
      </c>
      <c r="K18" s="30"/>
      <c r="L18" s="39" t="s">
        <v>104</v>
      </c>
      <c r="M18" s="29"/>
      <c r="N18" s="30"/>
      <c r="O18" s="29" t="s">
        <v>167</v>
      </c>
      <c r="P18" s="29" t="s">
        <v>71</v>
      </c>
      <c r="Q18" s="30"/>
      <c r="R18" s="3"/>
      <c r="S18" s="3"/>
      <c r="T18" s="3"/>
      <c r="U18" s="3"/>
      <c r="V18" s="3"/>
      <c r="W18" s="3"/>
      <c r="X18" s="3"/>
      <c r="Y18" s="3"/>
      <c r="Z18" s="3"/>
    </row>
    <row r="19" ht="79.5" customHeight="1">
      <c r="A19" s="34" t="s">
        <v>180</v>
      </c>
      <c r="B19" s="35" t="s">
        <v>181</v>
      </c>
      <c r="C19" s="34" t="s">
        <v>163</v>
      </c>
      <c r="D19" s="31" t="s">
        <v>62</v>
      </c>
      <c r="E19" s="31" t="s">
        <v>62</v>
      </c>
      <c r="F19" s="34" t="s">
        <v>75</v>
      </c>
      <c r="G19" s="35" t="s">
        <v>182</v>
      </c>
      <c r="H19" s="35" t="s">
        <v>183</v>
      </c>
      <c r="I19" s="35" t="s">
        <v>133</v>
      </c>
      <c r="J19" s="35" t="s">
        <v>184</v>
      </c>
      <c r="K19" s="35"/>
      <c r="L19" s="39" t="s">
        <v>104</v>
      </c>
      <c r="M19" s="34"/>
      <c r="N19" s="35"/>
      <c r="O19" s="34" t="s">
        <v>185</v>
      </c>
      <c r="P19" s="34" t="s">
        <v>71</v>
      </c>
      <c r="Q19" s="35"/>
      <c r="R19" s="3"/>
      <c r="S19" s="3"/>
      <c r="T19" s="3"/>
      <c r="U19" s="3"/>
      <c r="V19" s="3"/>
      <c r="W19" s="3"/>
      <c r="X19" s="3"/>
      <c r="Y19" s="3"/>
      <c r="Z19" s="3"/>
    </row>
    <row r="20" ht="79.5" customHeight="1">
      <c r="A20" s="29" t="s">
        <v>186</v>
      </c>
      <c r="B20" s="30" t="s">
        <v>187</v>
      </c>
      <c r="C20" s="29" t="s">
        <v>163</v>
      </c>
      <c r="D20" s="37" t="s">
        <v>84</v>
      </c>
      <c r="E20" s="37" t="s">
        <v>84</v>
      </c>
      <c r="F20" s="29" t="s">
        <v>75</v>
      </c>
      <c r="G20" s="30" t="s">
        <v>188</v>
      </c>
      <c r="H20" s="30" t="s">
        <v>189</v>
      </c>
      <c r="I20" s="30" t="s">
        <v>190</v>
      </c>
      <c r="J20" s="30" t="s">
        <v>191</v>
      </c>
      <c r="K20" s="30"/>
      <c r="L20" s="32" t="s">
        <v>68</v>
      </c>
      <c r="M20" s="40">
        <v>46180.0</v>
      </c>
      <c r="N20" s="33" t="s">
        <v>192</v>
      </c>
      <c r="O20" s="29" t="s">
        <v>193</v>
      </c>
      <c r="P20" s="29" t="s">
        <v>71</v>
      </c>
      <c r="Q20" s="30"/>
      <c r="R20" s="3"/>
      <c r="S20" s="3"/>
      <c r="T20" s="3"/>
      <c r="U20" s="3"/>
      <c r="V20" s="3"/>
      <c r="W20" s="3"/>
      <c r="X20" s="3"/>
      <c r="Y20" s="3"/>
      <c r="Z20" s="3"/>
    </row>
    <row r="21" ht="79.5" customHeight="1">
      <c r="A21" s="34" t="s">
        <v>194</v>
      </c>
      <c r="B21" s="35" t="s">
        <v>195</v>
      </c>
      <c r="C21" s="34" t="s">
        <v>163</v>
      </c>
      <c r="D21" s="37" t="s">
        <v>84</v>
      </c>
      <c r="E21" s="38" t="s">
        <v>93</v>
      </c>
      <c r="F21" s="34" t="s">
        <v>75</v>
      </c>
      <c r="G21" s="35" t="s">
        <v>196</v>
      </c>
      <c r="H21" s="35" t="s">
        <v>197</v>
      </c>
      <c r="I21" s="35" t="s">
        <v>198</v>
      </c>
      <c r="J21" s="35" t="s">
        <v>199</v>
      </c>
      <c r="K21" s="35"/>
      <c r="L21" s="39" t="s">
        <v>104</v>
      </c>
      <c r="M21" s="34"/>
      <c r="N21" s="35"/>
      <c r="O21" s="34" t="s">
        <v>200</v>
      </c>
      <c r="P21" s="34" t="s">
        <v>71</v>
      </c>
      <c r="Q21" s="35"/>
      <c r="R21" s="3"/>
      <c r="S21" s="3"/>
      <c r="T21" s="3"/>
      <c r="U21" s="3"/>
      <c r="V21" s="3"/>
      <c r="W21" s="3"/>
      <c r="X21" s="3"/>
      <c r="Y21" s="3"/>
      <c r="Z21" s="3"/>
    </row>
    <row r="22" ht="79.5" customHeight="1">
      <c r="A22" s="29" t="s">
        <v>201</v>
      </c>
      <c r="B22" s="30" t="s">
        <v>202</v>
      </c>
      <c r="C22" s="29" t="s">
        <v>163</v>
      </c>
      <c r="D22" s="31" t="s">
        <v>62</v>
      </c>
      <c r="E22" s="31" t="s">
        <v>62</v>
      </c>
      <c r="F22" s="29" t="s">
        <v>75</v>
      </c>
      <c r="G22" s="30" t="s">
        <v>203</v>
      </c>
      <c r="H22" s="30" t="s">
        <v>204</v>
      </c>
      <c r="I22" s="30" t="s">
        <v>205</v>
      </c>
      <c r="J22" s="30" t="s">
        <v>206</v>
      </c>
      <c r="K22" s="30"/>
      <c r="L22" s="39" t="s">
        <v>104</v>
      </c>
      <c r="M22" s="29"/>
      <c r="N22" s="30"/>
      <c r="O22" s="29" t="s">
        <v>207</v>
      </c>
      <c r="P22" s="29" t="s">
        <v>71</v>
      </c>
      <c r="Q22" s="30" t="s">
        <v>208</v>
      </c>
      <c r="R22" s="3"/>
      <c r="S22" s="3"/>
      <c r="T22" s="3"/>
      <c r="U22" s="3"/>
      <c r="V22" s="3"/>
      <c r="W22" s="3"/>
      <c r="X22" s="3"/>
      <c r="Y22" s="3"/>
      <c r="Z22" s="3"/>
    </row>
    <row r="23" ht="79.5" customHeight="1">
      <c r="A23" s="34" t="s">
        <v>209</v>
      </c>
      <c r="B23" s="35" t="s">
        <v>210</v>
      </c>
      <c r="C23" s="34" t="s">
        <v>163</v>
      </c>
      <c r="D23" s="37" t="s">
        <v>84</v>
      </c>
      <c r="E23" s="38" t="s">
        <v>93</v>
      </c>
      <c r="F23" s="34" t="s">
        <v>75</v>
      </c>
      <c r="G23" s="35" t="s">
        <v>211</v>
      </c>
      <c r="H23" s="35" t="s">
        <v>212</v>
      </c>
      <c r="I23" s="35" t="s">
        <v>213</v>
      </c>
      <c r="J23" s="35" t="s">
        <v>214</v>
      </c>
      <c r="K23" s="35"/>
      <c r="L23" s="39" t="s">
        <v>104</v>
      </c>
      <c r="M23" s="34"/>
      <c r="N23" s="35"/>
      <c r="O23" s="34" t="s">
        <v>207</v>
      </c>
      <c r="P23" s="34" t="s">
        <v>112</v>
      </c>
      <c r="Q23" s="35" t="s">
        <v>215</v>
      </c>
      <c r="R23" s="3"/>
      <c r="S23" s="3"/>
      <c r="T23" s="3"/>
      <c r="U23" s="3"/>
      <c r="V23" s="3"/>
      <c r="W23" s="3"/>
      <c r="X23" s="3"/>
      <c r="Y23" s="3"/>
      <c r="Z23" s="3"/>
    </row>
    <row r="24" ht="79.5" customHeight="1">
      <c r="A24" s="29" t="s">
        <v>216</v>
      </c>
      <c r="B24" s="30" t="s">
        <v>217</v>
      </c>
      <c r="C24" s="29" t="s">
        <v>163</v>
      </c>
      <c r="D24" s="38" t="s">
        <v>93</v>
      </c>
      <c r="E24" s="38" t="s">
        <v>93</v>
      </c>
      <c r="F24" s="29" t="s">
        <v>75</v>
      </c>
      <c r="G24" s="30" t="s">
        <v>218</v>
      </c>
      <c r="H24" s="30" t="s">
        <v>219</v>
      </c>
      <c r="I24" s="30" t="s">
        <v>220</v>
      </c>
      <c r="J24" s="30" t="s">
        <v>221</v>
      </c>
      <c r="K24" s="30"/>
      <c r="L24" s="39" t="s">
        <v>104</v>
      </c>
      <c r="M24" s="29"/>
      <c r="N24" s="30"/>
      <c r="O24" s="29" t="s">
        <v>222</v>
      </c>
      <c r="P24" s="29" t="s">
        <v>71</v>
      </c>
      <c r="Q24" s="30"/>
      <c r="R24" s="3"/>
      <c r="S24" s="3"/>
      <c r="T24" s="3"/>
      <c r="U24" s="3"/>
      <c r="V24" s="3"/>
      <c r="W24" s="3"/>
      <c r="X24" s="3"/>
      <c r="Y24" s="3"/>
      <c r="Z24" s="3"/>
    </row>
    <row r="25" ht="79.5" customHeight="1">
      <c r="A25" s="34" t="s">
        <v>223</v>
      </c>
      <c r="B25" s="35" t="s">
        <v>224</v>
      </c>
      <c r="C25" s="34" t="s">
        <v>163</v>
      </c>
      <c r="D25" s="37" t="s">
        <v>84</v>
      </c>
      <c r="E25" s="37" t="s">
        <v>84</v>
      </c>
      <c r="F25" s="34" t="s">
        <v>75</v>
      </c>
      <c r="G25" s="35" t="s">
        <v>225</v>
      </c>
      <c r="H25" s="35" t="s">
        <v>226</v>
      </c>
      <c r="I25" s="35" t="s">
        <v>227</v>
      </c>
      <c r="J25" s="35" t="s">
        <v>228</v>
      </c>
      <c r="K25" s="35"/>
      <c r="L25" s="39" t="s">
        <v>104</v>
      </c>
      <c r="M25" s="34"/>
      <c r="N25" s="35"/>
      <c r="O25" s="34" t="s">
        <v>229</v>
      </c>
      <c r="P25" s="34" t="s">
        <v>71</v>
      </c>
      <c r="Q25" s="35" t="s">
        <v>230</v>
      </c>
      <c r="R25" s="3"/>
      <c r="S25" s="3"/>
      <c r="T25" s="3"/>
      <c r="U25" s="3"/>
      <c r="V25" s="3"/>
      <c r="W25" s="3"/>
      <c r="X25" s="3"/>
      <c r="Y25" s="3"/>
      <c r="Z25" s="3"/>
    </row>
    <row r="26" ht="79.5" customHeight="1">
      <c r="A26" s="29" t="s">
        <v>231</v>
      </c>
      <c r="B26" s="30" t="s">
        <v>232</v>
      </c>
      <c r="C26" s="29" t="s">
        <v>233</v>
      </c>
      <c r="D26" s="37" t="s">
        <v>84</v>
      </c>
      <c r="E26" s="37" t="s">
        <v>84</v>
      </c>
      <c r="F26" s="29" t="s">
        <v>75</v>
      </c>
      <c r="G26" s="30" t="s">
        <v>234</v>
      </c>
      <c r="H26" s="30" t="s">
        <v>235</v>
      </c>
      <c r="I26" s="30" t="s">
        <v>133</v>
      </c>
      <c r="J26" s="30" t="s">
        <v>236</v>
      </c>
      <c r="K26" s="30"/>
      <c r="L26" s="39" t="s">
        <v>104</v>
      </c>
      <c r="M26" s="29"/>
      <c r="N26" s="30"/>
      <c r="O26" s="29" t="s">
        <v>237</v>
      </c>
      <c r="P26" s="29" t="s">
        <v>71</v>
      </c>
      <c r="Q26" s="30"/>
      <c r="R26" s="3"/>
      <c r="S26" s="3"/>
      <c r="T26" s="3"/>
      <c r="U26" s="3"/>
      <c r="V26" s="3"/>
      <c r="W26" s="3"/>
      <c r="X26" s="3"/>
      <c r="Y26" s="3"/>
      <c r="Z26" s="3"/>
    </row>
    <row r="27" ht="79.5" customHeight="1">
      <c r="A27" s="34" t="s">
        <v>238</v>
      </c>
      <c r="B27" s="35" t="s">
        <v>239</v>
      </c>
      <c r="C27" s="34" t="s">
        <v>233</v>
      </c>
      <c r="D27" s="38" t="s">
        <v>93</v>
      </c>
      <c r="E27" s="38" t="s">
        <v>93</v>
      </c>
      <c r="F27" s="34" t="s">
        <v>75</v>
      </c>
      <c r="G27" s="35" t="s">
        <v>240</v>
      </c>
      <c r="H27" s="35" t="s">
        <v>241</v>
      </c>
      <c r="I27" s="35" t="s">
        <v>242</v>
      </c>
      <c r="J27" s="35" t="s">
        <v>243</v>
      </c>
      <c r="K27" s="35"/>
      <c r="L27" s="39" t="s">
        <v>104</v>
      </c>
      <c r="M27" s="34"/>
      <c r="N27" s="35"/>
      <c r="O27" s="34" t="s">
        <v>237</v>
      </c>
      <c r="P27" s="34" t="s">
        <v>71</v>
      </c>
      <c r="Q27" s="35"/>
      <c r="R27" s="3"/>
      <c r="S27" s="3"/>
      <c r="T27" s="3"/>
      <c r="U27" s="3"/>
      <c r="V27" s="3"/>
      <c r="W27" s="3"/>
      <c r="X27" s="3"/>
      <c r="Y27" s="3"/>
      <c r="Z27" s="3"/>
    </row>
    <row r="28" ht="79.5" customHeight="1">
      <c r="A28" s="29" t="s">
        <v>244</v>
      </c>
      <c r="B28" s="30" t="s">
        <v>245</v>
      </c>
      <c r="C28" s="29" t="s">
        <v>233</v>
      </c>
      <c r="D28" s="37" t="s">
        <v>84</v>
      </c>
      <c r="E28" s="37" t="s">
        <v>84</v>
      </c>
      <c r="F28" s="29" t="s">
        <v>75</v>
      </c>
      <c r="G28" s="30" t="s">
        <v>246</v>
      </c>
      <c r="H28" s="30" t="s">
        <v>247</v>
      </c>
      <c r="I28" s="30" t="s">
        <v>248</v>
      </c>
      <c r="J28" s="30" t="s">
        <v>249</v>
      </c>
      <c r="K28" s="33" t="s">
        <v>250</v>
      </c>
      <c r="L28" s="32" t="s">
        <v>68</v>
      </c>
      <c r="M28" s="41">
        <v>46180.0</v>
      </c>
      <c r="N28" s="33" t="s">
        <v>251</v>
      </c>
      <c r="O28" s="29" t="s">
        <v>252</v>
      </c>
      <c r="P28" s="29" t="s">
        <v>71</v>
      </c>
      <c r="Q28" s="30"/>
      <c r="R28" s="3"/>
      <c r="S28" s="3"/>
      <c r="T28" s="3"/>
      <c r="U28" s="3"/>
      <c r="V28" s="3"/>
      <c r="W28" s="3"/>
      <c r="X28" s="3"/>
      <c r="Y28" s="3"/>
      <c r="Z28" s="3"/>
    </row>
    <row r="29" ht="79.5" customHeight="1">
      <c r="A29" s="34" t="s">
        <v>253</v>
      </c>
      <c r="B29" s="35" t="s">
        <v>254</v>
      </c>
      <c r="C29" s="34" t="s">
        <v>233</v>
      </c>
      <c r="D29" s="37" t="s">
        <v>84</v>
      </c>
      <c r="E29" s="37" t="s">
        <v>84</v>
      </c>
      <c r="F29" s="34" t="s">
        <v>75</v>
      </c>
      <c r="G29" s="35" t="s">
        <v>255</v>
      </c>
      <c r="H29" s="35" t="s">
        <v>256</v>
      </c>
      <c r="I29" s="35" t="s">
        <v>257</v>
      </c>
      <c r="J29" s="35" t="s">
        <v>258</v>
      </c>
      <c r="K29" s="35"/>
      <c r="L29" s="39" t="s">
        <v>104</v>
      </c>
      <c r="M29" s="34"/>
      <c r="N29" s="35"/>
      <c r="O29" s="34" t="s">
        <v>252</v>
      </c>
      <c r="P29" s="34" t="s">
        <v>71</v>
      </c>
      <c r="Q29" s="35"/>
      <c r="R29" s="3"/>
      <c r="S29" s="3"/>
      <c r="T29" s="3"/>
      <c r="U29" s="3"/>
      <c r="V29" s="3"/>
      <c r="W29" s="3"/>
      <c r="X29" s="3"/>
      <c r="Y29" s="3"/>
      <c r="Z29" s="3"/>
    </row>
    <row r="30" ht="79.5" customHeight="1">
      <c r="A30" s="29" t="s">
        <v>259</v>
      </c>
      <c r="B30" s="30" t="s">
        <v>260</v>
      </c>
      <c r="C30" s="29" t="s">
        <v>261</v>
      </c>
      <c r="D30" s="37" t="s">
        <v>84</v>
      </c>
      <c r="E30" s="37" t="s">
        <v>84</v>
      </c>
      <c r="F30" s="29" t="s">
        <v>75</v>
      </c>
      <c r="G30" s="30" t="s">
        <v>262</v>
      </c>
      <c r="H30" s="30" t="s">
        <v>263</v>
      </c>
      <c r="I30" s="30" t="s">
        <v>133</v>
      </c>
      <c r="J30" s="30" t="s">
        <v>264</v>
      </c>
      <c r="K30" s="30"/>
      <c r="L30" s="39" t="s">
        <v>104</v>
      </c>
      <c r="M30" s="29"/>
      <c r="N30" s="30"/>
      <c r="O30" s="29" t="s">
        <v>265</v>
      </c>
      <c r="P30" s="29" t="s">
        <v>71</v>
      </c>
      <c r="Q30" s="30"/>
      <c r="R30" s="3"/>
      <c r="S30" s="3"/>
      <c r="T30" s="3"/>
      <c r="U30" s="3"/>
      <c r="V30" s="3"/>
      <c r="W30" s="3"/>
      <c r="X30" s="3"/>
      <c r="Y30" s="3"/>
      <c r="Z30" s="3"/>
    </row>
    <row r="31" ht="79.5" customHeight="1">
      <c r="A31" s="34" t="s">
        <v>266</v>
      </c>
      <c r="B31" s="35" t="s">
        <v>267</v>
      </c>
      <c r="C31" s="34" t="s">
        <v>261</v>
      </c>
      <c r="D31" s="37" t="s">
        <v>84</v>
      </c>
      <c r="E31" s="37" t="s">
        <v>84</v>
      </c>
      <c r="F31" s="34" t="s">
        <v>75</v>
      </c>
      <c r="G31" s="35" t="s">
        <v>268</v>
      </c>
      <c r="H31" s="35" t="s">
        <v>269</v>
      </c>
      <c r="I31" s="35" t="s">
        <v>270</v>
      </c>
      <c r="J31" s="35" t="s">
        <v>271</v>
      </c>
      <c r="K31" s="35"/>
      <c r="L31" s="39" t="s">
        <v>104</v>
      </c>
      <c r="M31" s="34"/>
      <c r="N31" s="35"/>
      <c r="O31" s="34" t="s">
        <v>272</v>
      </c>
      <c r="P31" s="34" t="s">
        <v>71</v>
      </c>
      <c r="Q31" s="35"/>
      <c r="R31" s="3"/>
      <c r="S31" s="3"/>
      <c r="T31" s="3"/>
      <c r="U31" s="3"/>
      <c r="V31" s="3"/>
      <c r="W31" s="3"/>
      <c r="X31" s="3"/>
      <c r="Y31" s="3"/>
      <c r="Z31" s="3"/>
    </row>
    <row r="32" ht="79.5" customHeight="1">
      <c r="A32" s="29" t="s">
        <v>273</v>
      </c>
      <c r="B32" s="30" t="s">
        <v>274</v>
      </c>
      <c r="C32" s="29" t="s">
        <v>261</v>
      </c>
      <c r="D32" s="38" t="s">
        <v>93</v>
      </c>
      <c r="E32" s="38" t="s">
        <v>93</v>
      </c>
      <c r="F32" s="29" t="s">
        <v>85</v>
      </c>
      <c r="G32" s="30" t="s">
        <v>275</v>
      </c>
      <c r="H32" s="30" t="s">
        <v>276</v>
      </c>
      <c r="I32" s="30" t="s">
        <v>277</v>
      </c>
      <c r="J32" s="30" t="s">
        <v>278</v>
      </c>
      <c r="K32" s="30"/>
      <c r="L32" s="39" t="s">
        <v>104</v>
      </c>
      <c r="M32" s="29"/>
      <c r="N32" s="30"/>
      <c r="O32" s="29" t="s">
        <v>272</v>
      </c>
      <c r="P32" s="29" t="s">
        <v>71</v>
      </c>
      <c r="Q32" s="30" t="s">
        <v>98</v>
      </c>
      <c r="R32" s="3"/>
      <c r="S32" s="3"/>
      <c r="T32" s="3"/>
      <c r="U32" s="3"/>
      <c r="V32" s="3"/>
      <c r="W32" s="3"/>
      <c r="X32" s="3"/>
      <c r="Y32" s="3"/>
      <c r="Z32" s="3"/>
    </row>
    <row r="33" ht="79.5" customHeight="1">
      <c r="A33" s="34" t="s">
        <v>279</v>
      </c>
      <c r="B33" s="35" t="s">
        <v>280</v>
      </c>
      <c r="C33" s="34" t="s">
        <v>261</v>
      </c>
      <c r="D33" s="38" t="s">
        <v>93</v>
      </c>
      <c r="E33" s="38" t="s">
        <v>93</v>
      </c>
      <c r="F33" s="34" t="s">
        <v>75</v>
      </c>
      <c r="G33" s="35" t="s">
        <v>281</v>
      </c>
      <c r="H33" s="35" t="s">
        <v>282</v>
      </c>
      <c r="I33" s="35" t="s">
        <v>283</v>
      </c>
      <c r="J33" s="35" t="s">
        <v>284</v>
      </c>
      <c r="K33" s="36" t="s">
        <v>285</v>
      </c>
      <c r="L33" s="32" t="s">
        <v>68</v>
      </c>
      <c r="M33" s="42">
        <v>46180.0</v>
      </c>
      <c r="N33" s="36" t="s">
        <v>251</v>
      </c>
      <c r="O33" s="34" t="s">
        <v>286</v>
      </c>
      <c r="P33" s="34" t="s">
        <v>71</v>
      </c>
      <c r="Q33" s="35"/>
      <c r="R33" s="3"/>
      <c r="S33" s="3"/>
      <c r="T33" s="3"/>
      <c r="U33" s="3"/>
      <c r="V33" s="3"/>
      <c r="W33" s="3"/>
      <c r="X33" s="3"/>
      <c r="Y33" s="3"/>
      <c r="Z33" s="3"/>
    </row>
    <row r="34" ht="79.5" customHeight="1">
      <c r="A34" s="29" t="s">
        <v>287</v>
      </c>
      <c r="B34" s="30" t="s">
        <v>288</v>
      </c>
      <c r="C34" s="29" t="s">
        <v>261</v>
      </c>
      <c r="D34" s="38" t="s">
        <v>93</v>
      </c>
      <c r="E34" s="38" t="s">
        <v>93</v>
      </c>
      <c r="F34" s="29" t="s">
        <v>75</v>
      </c>
      <c r="G34" s="30" t="s">
        <v>289</v>
      </c>
      <c r="H34" s="30" t="s">
        <v>290</v>
      </c>
      <c r="I34" s="30" t="s">
        <v>291</v>
      </c>
      <c r="J34" s="30" t="s">
        <v>292</v>
      </c>
      <c r="K34" s="30"/>
      <c r="L34" s="39" t="s">
        <v>104</v>
      </c>
      <c r="M34" s="29"/>
      <c r="N34" s="30"/>
      <c r="O34" s="29" t="s">
        <v>293</v>
      </c>
      <c r="P34" s="29" t="s">
        <v>71</v>
      </c>
      <c r="Q34" s="30" t="s">
        <v>294</v>
      </c>
      <c r="R34" s="3"/>
      <c r="S34" s="3"/>
      <c r="T34" s="3"/>
      <c r="U34" s="3"/>
      <c r="V34" s="3"/>
      <c r="W34" s="3"/>
      <c r="X34" s="3"/>
      <c r="Y34" s="3"/>
      <c r="Z34" s="3"/>
    </row>
    <row r="35" ht="79.5" customHeight="1">
      <c r="A35" s="34" t="s">
        <v>295</v>
      </c>
      <c r="B35" s="35" t="s">
        <v>296</v>
      </c>
      <c r="C35" s="34" t="s">
        <v>261</v>
      </c>
      <c r="D35" s="37" t="s">
        <v>84</v>
      </c>
      <c r="E35" s="38" t="s">
        <v>93</v>
      </c>
      <c r="F35" s="34" t="s">
        <v>75</v>
      </c>
      <c r="G35" s="35" t="s">
        <v>297</v>
      </c>
      <c r="H35" s="35" t="s">
        <v>298</v>
      </c>
      <c r="I35" s="35" t="s">
        <v>299</v>
      </c>
      <c r="J35" s="35" t="s">
        <v>300</v>
      </c>
      <c r="K35" s="35"/>
      <c r="L35" s="39" t="s">
        <v>104</v>
      </c>
      <c r="M35" s="34"/>
      <c r="N35" s="35"/>
      <c r="O35" s="34" t="s">
        <v>272</v>
      </c>
      <c r="P35" s="34" t="s">
        <v>71</v>
      </c>
      <c r="Q35" s="35"/>
      <c r="R35" s="3"/>
      <c r="S35" s="3"/>
      <c r="T35" s="3"/>
      <c r="U35" s="3"/>
      <c r="V35" s="3"/>
      <c r="W35" s="3"/>
      <c r="X35" s="3"/>
      <c r="Y35" s="3"/>
      <c r="Z35" s="3"/>
    </row>
    <row r="36" ht="79.5" customHeight="1">
      <c r="A36" s="29" t="s">
        <v>301</v>
      </c>
      <c r="B36" s="30" t="s">
        <v>302</v>
      </c>
      <c r="C36" s="29" t="s">
        <v>303</v>
      </c>
      <c r="D36" s="37" t="s">
        <v>84</v>
      </c>
      <c r="E36" s="37" t="s">
        <v>84</v>
      </c>
      <c r="F36" s="29" t="s">
        <v>75</v>
      </c>
      <c r="G36" s="30" t="s">
        <v>304</v>
      </c>
      <c r="H36" s="30" t="s">
        <v>305</v>
      </c>
      <c r="I36" s="30" t="s">
        <v>133</v>
      </c>
      <c r="J36" s="30" t="s">
        <v>306</v>
      </c>
      <c r="K36" s="30"/>
      <c r="L36" s="39" t="s">
        <v>104</v>
      </c>
      <c r="M36" s="29"/>
      <c r="N36" s="30"/>
      <c r="O36" s="29" t="s">
        <v>307</v>
      </c>
      <c r="P36" s="29" t="s">
        <v>71</v>
      </c>
      <c r="Q36" s="30"/>
      <c r="R36" s="3"/>
      <c r="S36" s="3"/>
      <c r="T36" s="3"/>
      <c r="U36" s="3"/>
      <c r="V36" s="3"/>
      <c r="W36" s="3"/>
      <c r="X36" s="3"/>
      <c r="Y36" s="3"/>
      <c r="Z36" s="3"/>
    </row>
    <row r="37" ht="79.5" customHeight="1">
      <c r="A37" s="34" t="s">
        <v>308</v>
      </c>
      <c r="B37" s="35" t="s">
        <v>309</v>
      </c>
      <c r="C37" s="34" t="s">
        <v>303</v>
      </c>
      <c r="D37" s="37" t="s">
        <v>84</v>
      </c>
      <c r="E37" s="37" t="s">
        <v>84</v>
      </c>
      <c r="F37" s="34" t="s">
        <v>75</v>
      </c>
      <c r="G37" s="35" t="s">
        <v>310</v>
      </c>
      <c r="H37" s="35" t="s">
        <v>311</v>
      </c>
      <c r="I37" s="35" t="s">
        <v>312</v>
      </c>
      <c r="J37" s="35" t="s">
        <v>313</v>
      </c>
      <c r="K37" s="35"/>
      <c r="L37" s="39" t="s">
        <v>104</v>
      </c>
      <c r="M37" s="34"/>
      <c r="N37" s="35"/>
      <c r="O37" s="34" t="s">
        <v>314</v>
      </c>
      <c r="P37" s="34" t="s">
        <v>71</v>
      </c>
      <c r="Q37" s="35"/>
      <c r="R37" s="3"/>
      <c r="S37" s="3"/>
      <c r="T37" s="3"/>
      <c r="U37" s="3"/>
      <c r="V37" s="3"/>
      <c r="W37" s="3"/>
      <c r="X37" s="3"/>
      <c r="Y37" s="3"/>
      <c r="Z37" s="3"/>
    </row>
    <row r="38" ht="79.5" customHeight="1">
      <c r="A38" s="29" t="s">
        <v>315</v>
      </c>
      <c r="B38" s="30" t="s">
        <v>316</v>
      </c>
      <c r="C38" s="29" t="s">
        <v>303</v>
      </c>
      <c r="D38" s="37" t="s">
        <v>84</v>
      </c>
      <c r="E38" s="38" t="s">
        <v>93</v>
      </c>
      <c r="F38" s="29" t="s">
        <v>85</v>
      </c>
      <c r="G38" s="30" t="s">
        <v>317</v>
      </c>
      <c r="H38" s="30" t="s">
        <v>318</v>
      </c>
      <c r="I38" s="30" t="s">
        <v>319</v>
      </c>
      <c r="J38" s="30" t="s">
        <v>320</v>
      </c>
      <c r="K38" s="30"/>
      <c r="L38" s="39" t="s">
        <v>104</v>
      </c>
      <c r="M38" s="29"/>
      <c r="N38" s="30"/>
      <c r="O38" s="29" t="s">
        <v>314</v>
      </c>
      <c r="P38" s="29" t="s">
        <v>71</v>
      </c>
      <c r="Q38" s="30" t="s">
        <v>321</v>
      </c>
      <c r="R38" s="3"/>
      <c r="S38" s="3"/>
      <c r="T38" s="3"/>
      <c r="U38" s="3"/>
      <c r="V38" s="3"/>
      <c r="W38" s="3"/>
      <c r="X38" s="3"/>
      <c r="Y38" s="3"/>
      <c r="Z38" s="3"/>
    </row>
    <row r="39" ht="79.5" customHeight="1">
      <c r="A39" s="34" t="s">
        <v>322</v>
      </c>
      <c r="B39" s="35" t="s">
        <v>323</v>
      </c>
      <c r="C39" s="34" t="s">
        <v>303</v>
      </c>
      <c r="D39" s="38" t="s">
        <v>93</v>
      </c>
      <c r="E39" s="38" t="s">
        <v>93</v>
      </c>
      <c r="F39" s="34" t="s">
        <v>75</v>
      </c>
      <c r="G39" s="35" t="s">
        <v>324</v>
      </c>
      <c r="H39" s="35" t="s">
        <v>325</v>
      </c>
      <c r="I39" s="35" t="s">
        <v>326</v>
      </c>
      <c r="J39" s="35" t="s">
        <v>327</v>
      </c>
      <c r="K39" s="35"/>
      <c r="L39" s="39" t="s">
        <v>104</v>
      </c>
      <c r="M39" s="34"/>
      <c r="N39" s="35"/>
      <c r="O39" s="34" t="s">
        <v>328</v>
      </c>
      <c r="P39" s="34" t="s">
        <v>71</v>
      </c>
      <c r="Q39" s="35"/>
      <c r="R39" s="3"/>
      <c r="S39" s="3"/>
      <c r="T39" s="3"/>
      <c r="U39" s="3"/>
      <c r="V39" s="3"/>
      <c r="W39" s="3"/>
      <c r="X39" s="3"/>
      <c r="Y39" s="3"/>
      <c r="Z39" s="3"/>
    </row>
    <row r="40" ht="79.5" customHeight="1">
      <c r="A40" s="29" t="s">
        <v>329</v>
      </c>
      <c r="B40" s="30" t="s">
        <v>330</v>
      </c>
      <c r="C40" s="29" t="s">
        <v>303</v>
      </c>
      <c r="D40" s="38" t="s">
        <v>93</v>
      </c>
      <c r="E40" s="37" t="s">
        <v>84</v>
      </c>
      <c r="F40" s="29" t="s">
        <v>75</v>
      </c>
      <c r="G40" s="30" t="s">
        <v>331</v>
      </c>
      <c r="H40" s="30" t="s">
        <v>332</v>
      </c>
      <c r="I40" s="30" t="s">
        <v>333</v>
      </c>
      <c r="J40" s="30" t="s">
        <v>334</v>
      </c>
      <c r="K40" s="30"/>
      <c r="L40" s="39" t="s">
        <v>104</v>
      </c>
      <c r="M40" s="29"/>
      <c r="N40" s="30"/>
      <c r="O40" s="29" t="s">
        <v>335</v>
      </c>
      <c r="P40" s="29" t="s">
        <v>112</v>
      </c>
      <c r="Q40" s="30" t="s">
        <v>336</v>
      </c>
      <c r="R40" s="3"/>
      <c r="S40" s="3"/>
      <c r="T40" s="3"/>
      <c r="U40" s="3"/>
      <c r="V40" s="3"/>
      <c r="W40" s="3"/>
      <c r="X40" s="3"/>
      <c r="Y40" s="3"/>
      <c r="Z40" s="3"/>
    </row>
    <row r="41" ht="79.5" customHeight="1">
      <c r="A41" s="34" t="s">
        <v>337</v>
      </c>
      <c r="B41" s="35" t="s">
        <v>338</v>
      </c>
      <c r="C41" s="34" t="s">
        <v>303</v>
      </c>
      <c r="D41" s="38" t="s">
        <v>93</v>
      </c>
      <c r="E41" s="38" t="s">
        <v>93</v>
      </c>
      <c r="F41" s="34" t="s">
        <v>85</v>
      </c>
      <c r="G41" s="35" t="s">
        <v>339</v>
      </c>
      <c r="H41" s="35" t="s">
        <v>340</v>
      </c>
      <c r="I41" s="35" t="s">
        <v>341</v>
      </c>
      <c r="J41" s="35" t="s">
        <v>342</v>
      </c>
      <c r="K41" s="35"/>
      <c r="L41" s="39" t="s">
        <v>104</v>
      </c>
      <c r="M41" s="34"/>
      <c r="N41" s="35"/>
      <c r="O41" s="34" t="s">
        <v>335</v>
      </c>
      <c r="P41" s="34" t="s">
        <v>112</v>
      </c>
      <c r="Q41" s="35"/>
      <c r="R41" s="3"/>
      <c r="S41" s="3"/>
      <c r="T41" s="3"/>
      <c r="U41" s="3"/>
      <c r="V41" s="3"/>
      <c r="W41" s="3"/>
      <c r="X41" s="3"/>
      <c r="Y41" s="3"/>
      <c r="Z41" s="3"/>
    </row>
    <row r="42" ht="79.5" customHeight="1">
      <c r="A42" s="29" t="s">
        <v>343</v>
      </c>
      <c r="B42" s="30" t="s">
        <v>344</v>
      </c>
      <c r="C42" s="29" t="s">
        <v>303</v>
      </c>
      <c r="D42" s="38" t="s">
        <v>93</v>
      </c>
      <c r="E42" s="38" t="s">
        <v>93</v>
      </c>
      <c r="F42" s="29" t="s">
        <v>75</v>
      </c>
      <c r="G42" s="30" t="s">
        <v>345</v>
      </c>
      <c r="H42" s="30" t="s">
        <v>346</v>
      </c>
      <c r="I42" s="30" t="s">
        <v>347</v>
      </c>
      <c r="J42" s="30" t="s">
        <v>348</v>
      </c>
      <c r="K42" s="30"/>
      <c r="L42" s="39" t="s">
        <v>104</v>
      </c>
      <c r="M42" s="29"/>
      <c r="N42" s="30"/>
      <c r="O42" s="29" t="s">
        <v>349</v>
      </c>
      <c r="P42" s="29" t="s">
        <v>71</v>
      </c>
      <c r="Q42" s="30"/>
      <c r="R42" s="3"/>
      <c r="S42" s="3"/>
      <c r="T42" s="3"/>
      <c r="U42" s="3"/>
      <c r="V42" s="3"/>
      <c r="W42" s="3"/>
      <c r="X42" s="3"/>
      <c r="Y42" s="3"/>
      <c r="Z42" s="3"/>
    </row>
    <row r="43" ht="79.5" customHeight="1">
      <c r="A43" s="34" t="s">
        <v>350</v>
      </c>
      <c r="B43" s="35" t="s">
        <v>351</v>
      </c>
      <c r="C43" s="34" t="s">
        <v>303</v>
      </c>
      <c r="D43" s="38" t="s">
        <v>93</v>
      </c>
      <c r="E43" s="38" t="s">
        <v>93</v>
      </c>
      <c r="F43" s="34" t="s">
        <v>75</v>
      </c>
      <c r="G43" s="35" t="s">
        <v>352</v>
      </c>
      <c r="H43" s="35" t="s">
        <v>353</v>
      </c>
      <c r="I43" s="35" t="s">
        <v>354</v>
      </c>
      <c r="J43" s="35" t="s">
        <v>355</v>
      </c>
      <c r="K43" s="35"/>
      <c r="L43" s="39" t="s">
        <v>104</v>
      </c>
      <c r="M43" s="34"/>
      <c r="N43" s="35"/>
      <c r="O43" s="34" t="s">
        <v>349</v>
      </c>
      <c r="P43" s="34" t="s">
        <v>71</v>
      </c>
      <c r="Q43" s="35"/>
      <c r="R43" s="3"/>
      <c r="S43" s="3"/>
      <c r="T43" s="3"/>
      <c r="U43" s="3"/>
      <c r="V43" s="3"/>
      <c r="W43" s="3"/>
      <c r="X43" s="3"/>
      <c r="Y43" s="3"/>
      <c r="Z43" s="3"/>
    </row>
    <row r="44" ht="79.5" customHeight="1">
      <c r="A44" s="29" t="s">
        <v>356</v>
      </c>
      <c r="B44" s="30" t="s">
        <v>357</v>
      </c>
      <c r="C44" s="29" t="s">
        <v>358</v>
      </c>
      <c r="D44" s="37" t="s">
        <v>84</v>
      </c>
      <c r="E44" s="37" t="s">
        <v>84</v>
      </c>
      <c r="F44" s="29" t="s">
        <v>75</v>
      </c>
      <c r="G44" s="30" t="s">
        <v>359</v>
      </c>
      <c r="H44" s="30" t="s">
        <v>360</v>
      </c>
      <c r="I44" s="30" t="s">
        <v>133</v>
      </c>
      <c r="J44" s="30" t="s">
        <v>361</v>
      </c>
      <c r="K44" s="30"/>
      <c r="L44" s="39" t="s">
        <v>104</v>
      </c>
      <c r="M44" s="29"/>
      <c r="N44" s="30"/>
      <c r="O44" s="29" t="s">
        <v>362</v>
      </c>
      <c r="P44" s="29" t="s">
        <v>71</v>
      </c>
      <c r="Q44" s="30"/>
      <c r="R44" s="3"/>
      <c r="S44" s="3"/>
      <c r="T44" s="3"/>
      <c r="U44" s="3"/>
      <c r="V44" s="3"/>
      <c r="W44" s="3"/>
      <c r="X44" s="3"/>
      <c r="Y44" s="3"/>
      <c r="Z44" s="3"/>
    </row>
    <row r="45" ht="79.5" customHeight="1">
      <c r="A45" s="34" t="s">
        <v>363</v>
      </c>
      <c r="B45" s="35" t="s">
        <v>364</v>
      </c>
      <c r="C45" s="34" t="s">
        <v>358</v>
      </c>
      <c r="D45" s="37" t="s">
        <v>84</v>
      </c>
      <c r="E45" s="37" t="s">
        <v>84</v>
      </c>
      <c r="F45" s="34" t="s">
        <v>75</v>
      </c>
      <c r="G45" s="35" t="s">
        <v>365</v>
      </c>
      <c r="H45" s="35" t="s">
        <v>366</v>
      </c>
      <c r="I45" s="35" t="s">
        <v>367</v>
      </c>
      <c r="J45" s="35" t="s">
        <v>368</v>
      </c>
      <c r="K45" s="35"/>
      <c r="L45" s="39" t="s">
        <v>104</v>
      </c>
      <c r="M45" s="34"/>
      <c r="N45" s="35"/>
      <c r="O45" s="34" t="s">
        <v>362</v>
      </c>
      <c r="P45" s="34" t="s">
        <v>71</v>
      </c>
      <c r="Q45" s="35"/>
      <c r="R45" s="3"/>
      <c r="S45" s="3"/>
      <c r="T45" s="3"/>
      <c r="U45" s="3"/>
      <c r="V45" s="3"/>
      <c r="W45" s="3"/>
      <c r="X45" s="3"/>
      <c r="Y45" s="3"/>
      <c r="Z45" s="3"/>
    </row>
    <row r="46" ht="79.5" customHeight="1">
      <c r="A46" s="29" t="s">
        <v>369</v>
      </c>
      <c r="B46" s="30" t="s">
        <v>370</v>
      </c>
      <c r="C46" s="29" t="s">
        <v>358</v>
      </c>
      <c r="D46" s="38" t="s">
        <v>93</v>
      </c>
      <c r="E46" s="38" t="s">
        <v>93</v>
      </c>
      <c r="F46" s="29" t="s">
        <v>75</v>
      </c>
      <c r="G46" s="30" t="s">
        <v>371</v>
      </c>
      <c r="H46" s="30" t="s">
        <v>372</v>
      </c>
      <c r="I46" s="30" t="s">
        <v>373</v>
      </c>
      <c r="J46" s="30" t="s">
        <v>374</v>
      </c>
      <c r="K46" s="30"/>
      <c r="L46" s="39" t="s">
        <v>104</v>
      </c>
      <c r="M46" s="29"/>
      <c r="N46" s="30"/>
      <c r="O46" s="29" t="s">
        <v>375</v>
      </c>
      <c r="P46" s="29" t="s">
        <v>71</v>
      </c>
      <c r="Q46" s="30"/>
      <c r="R46" s="3"/>
      <c r="S46" s="3"/>
      <c r="T46" s="3"/>
      <c r="U46" s="3"/>
      <c r="V46" s="3"/>
      <c r="W46" s="3"/>
      <c r="X46" s="3"/>
      <c r="Y46" s="3"/>
      <c r="Z46" s="3"/>
    </row>
    <row r="47" ht="79.5" customHeight="1">
      <c r="A47" s="34" t="s">
        <v>376</v>
      </c>
      <c r="B47" s="35" t="s">
        <v>377</v>
      </c>
      <c r="C47" s="34" t="s">
        <v>358</v>
      </c>
      <c r="D47" s="38" t="s">
        <v>93</v>
      </c>
      <c r="E47" s="38" t="s">
        <v>93</v>
      </c>
      <c r="F47" s="34" t="s">
        <v>75</v>
      </c>
      <c r="G47" s="35" t="s">
        <v>378</v>
      </c>
      <c r="H47" s="35" t="s">
        <v>379</v>
      </c>
      <c r="I47" s="35" t="s">
        <v>380</v>
      </c>
      <c r="J47" s="35" t="s">
        <v>381</v>
      </c>
      <c r="K47" s="35"/>
      <c r="L47" s="39" t="s">
        <v>104</v>
      </c>
      <c r="M47" s="34"/>
      <c r="N47" s="35"/>
      <c r="O47" s="34" t="s">
        <v>375</v>
      </c>
      <c r="P47" s="34" t="s">
        <v>71</v>
      </c>
      <c r="Q47" s="35"/>
      <c r="R47" s="3"/>
      <c r="S47" s="3"/>
      <c r="T47" s="3"/>
      <c r="U47" s="3"/>
      <c r="V47" s="3"/>
      <c r="W47" s="3"/>
      <c r="X47" s="3"/>
      <c r="Y47" s="3"/>
      <c r="Z47" s="3"/>
    </row>
    <row r="48" ht="79.5" customHeight="1">
      <c r="A48" s="29" t="s">
        <v>382</v>
      </c>
      <c r="B48" s="30" t="s">
        <v>383</v>
      </c>
      <c r="C48" s="29" t="s">
        <v>358</v>
      </c>
      <c r="D48" s="38" t="s">
        <v>93</v>
      </c>
      <c r="E48" s="38" t="s">
        <v>93</v>
      </c>
      <c r="F48" s="29" t="s">
        <v>75</v>
      </c>
      <c r="G48" s="30" t="s">
        <v>384</v>
      </c>
      <c r="H48" s="30" t="s">
        <v>385</v>
      </c>
      <c r="I48" s="30" t="s">
        <v>386</v>
      </c>
      <c r="J48" s="30" t="s">
        <v>387</v>
      </c>
      <c r="K48" s="30"/>
      <c r="L48" s="39" t="s">
        <v>104</v>
      </c>
      <c r="M48" s="29"/>
      <c r="N48" s="30"/>
      <c r="O48" s="29" t="s">
        <v>388</v>
      </c>
      <c r="P48" s="29" t="s">
        <v>112</v>
      </c>
      <c r="Q48" s="30" t="s">
        <v>389</v>
      </c>
      <c r="R48" s="3"/>
      <c r="S48" s="3"/>
      <c r="T48" s="3"/>
      <c r="U48" s="3"/>
      <c r="V48" s="3"/>
      <c r="W48" s="3"/>
      <c r="X48" s="3"/>
      <c r="Y48" s="3"/>
      <c r="Z48" s="3"/>
    </row>
    <row r="49" ht="79.5" customHeight="1">
      <c r="A49" s="34" t="s">
        <v>390</v>
      </c>
      <c r="B49" s="35" t="s">
        <v>391</v>
      </c>
      <c r="C49" s="34" t="s">
        <v>358</v>
      </c>
      <c r="D49" s="38" t="s">
        <v>93</v>
      </c>
      <c r="E49" s="38" t="s">
        <v>93</v>
      </c>
      <c r="F49" s="34" t="s">
        <v>75</v>
      </c>
      <c r="G49" s="35" t="s">
        <v>392</v>
      </c>
      <c r="H49" s="35" t="s">
        <v>393</v>
      </c>
      <c r="I49" s="35" t="s">
        <v>394</v>
      </c>
      <c r="J49" s="35" t="s">
        <v>395</v>
      </c>
      <c r="K49" s="35"/>
      <c r="L49" s="39" t="s">
        <v>104</v>
      </c>
      <c r="M49" s="34"/>
      <c r="N49" s="35"/>
      <c r="O49" s="34" t="s">
        <v>388</v>
      </c>
      <c r="P49" s="34" t="s">
        <v>112</v>
      </c>
      <c r="Q49" s="35"/>
      <c r="R49" s="3"/>
      <c r="S49" s="3"/>
      <c r="T49" s="3"/>
      <c r="U49" s="3"/>
      <c r="V49" s="3"/>
      <c r="W49" s="3"/>
      <c r="X49" s="3"/>
      <c r="Y49" s="3"/>
      <c r="Z49" s="3"/>
    </row>
    <row r="50" ht="79.5" customHeight="1">
      <c r="A50" s="29" t="s">
        <v>396</v>
      </c>
      <c r="B50" s="30" t="s">
        <v>397</v>
      </c>
      <c r="C50" s="29" t="s">
        <v>398</v>
      </c>
      <c r="D50" s="37" t="s">
        <v>84</v>
      </c>
      <c r="E50" s="37" t="s">
        <v>84</v>
      </c>
      <c r="F50" s="29" t="s">
        <v>75</v>
      </c>
      <c r="G50" s="30" t="s">
        <v>399</v>
      </c>
      <c r="H50" s="30" t="s">
        <v>400</v>
      </c>
      <c r="I50" s="30" t="s">
        <v>133</v>
      </c>
      <c r="J50" s="30" t="s">
        <v>401</v>
      </c>
      <c r="K50" s="30"/>
      <c r="L50" s="39" t="s">
        <v>104</v>
      </c>
      <c r="M50" s="29"/>
      <c r="N50" s="30"/>
      <c r="O50" s="29" t="s">
        <v>402</v>
      </c>
      <c r="P50" s="29" t="s">
        <v>71</v>
      </c>
      <c r="Q50" s="30"/>
      <c r="R50" s="3"/>
      <c r="S50" s="3"/>
      <c r="T50" s="3"/>
      <c r="U50" s="3"/>
      <c r="V50" s="3"/>
      <c r="W50" s="3"/>
      <c r="X50" s="3"/>
      <c r="Y50" s="3"/>
      <c r="Z50" s="3"/>
    </row>
    <row r="51" ht="79.5" customHeight="1">
      <c r="A51" s="34" t="s">
        <v>403</v>
      </c>
      <c r="B51" s="35" t="s">
        <v>404</v>
      </c>
      <c r="C51" s="34" t="s">
        <v>398</v>
      </c>
      <c r="D51" s="37" t="s">
        <v>84</v>
      </c>
      <c r="E51" s="37" t="s">
        <v>84</v>
      </c>
      <c r="F51" s="34" t="s">
        <v>75</v>
      </c>
      <c r="G51" s="35" t="s">
        <v>405</v>
      </c>
      <c r="H51" s="35" t="s">
        <v>406</v>
      </c>
      <c r="I51" s="35" t="s">
        <v>407</v>
      </c>
      <c r="J51" s="35" t="s">
        <v>408</v>
      </c>
      <c r="K51" s="35"/>
      <c r="L51" s="39" t="s">
        <v>104</v>
      </c>
      <c r="M51" s="34"/>
      <c r="N51" s="35"/>
      <c r="O51" s="34" t="s">
        <v>409</v>
      </c>
      <c r="P51" s="34" t="s">
        <v>71</v>
      </c>
      <c r="Q51" s="35"/>
      <c r="R51" s="3"/>
      <c r="S51" s="3"/>
      <c r="T51" s="3"/>
      <c r="U51" s="3"/>
      <c r="V51" s="3"/>
      <c r="W51" s="3"/>
      <c r="X51" s="3"/>
      <c r="Y51" s="3"/>
      <c r="Z51" s="3"/>
    </row>
    <row r="52" ht="79.5" customHeight="1">
      <c r="A52" s="29" t="s">
        <v>410</v>
      </c>
      <c r="B52" s="30" t="s">
        <v>411</v>
      </c>
      <c r="C52" s="29" t="s">
        <v>398</v>
      </c>
      <c r="D52" s="37" t="s">
        <v>84</v>
      </c>
      <c r="E52" s="38" t="s">
        <v>93</v>
      </c>
      <c r="F52" s="29" t="s">
        <v>85</v>
      </c>
      <c r="G52" s="30" t="s">
        <v>412</v>
      </c>
      <c r="H52" s="30" t="s">
        <v>413</v>
      </c>
      <c r="I52" s="30" t="s">
        <v>414</v>
      </c>
      <c r="J52" s="30" t="s">
        <v>415</v>
      </c>
      <c r="K52" s="30"/>
      <c r="L52" s="39" t="s">
        <v>104</v>
      </c>
      <c r="M52" s="29"/>
      <c r="N52" s="30"/>
      <c r="O52" s="29" t="s">
        <v>409</v>
      </c>
      <c r="P52" s="29" t="s">
        <v>71</v>
      </c>
      <c r="Q52" s="30"/>
      <c r="R52" s="3"/>
      <c r="S52" s="3"/>
      <c r="T52" s="3"/>
      <c r="U52" s="3"/>
      <c r="V52" s="3"/>
      <c r="W52" s="3"/>
      <c r="X52" s="3"/>
      <c r="Y52" s="3"/>
      <c r="Z52" s="3"/>
    </row>
    <row r="53" ht="79.5" customHeight="1">
      <c r="A53" s="34" t="s">
        <v>416</v>
      </c>
      <c r="B53" s="35" t="s">
        <v>417</v>
      </c>
      <c r="C53" s="34" t="s">
        <v>398</v>
      </c>
      <c r="D53" s="38" t="s">
        <v>93</v>
      </c>
      <c r="E53" s="38" t="s">
        <v>93</v>
      </c>
      <c r="F53" s="34" t="s">
        <v>75</v>
      </c>
      <c r="G53" s="35" t="s">
        <v>418</v>
      </c>
      <c r="H53" s="35" t="s">
        <v>419</v>
      </c>
      <c r="I53" s="35" t="s">
        <v>420</v>
      </c>
      <c r="J53" s="35" t="s">
        <v>421</v>
      </c>
      <c r="K53" s="35"/>
      <c r="L53" s="39" t="s">
        <v>104</v>
      </c>
      <c r="M53" s="34"/>
      <c r="N53" s="35"/>
      <c r="O53" s="34" t="s">
        <v>409</v>
      </c>
      <c r="P53" s="34" t="s">
        <v>71</v>
      </c>
      <c r="Q53" s="35"/>
      <c r="R53" s="3"/>
      <c r="S53" s="3"/>
      <c r="T53" s="3"/>
      <c r="U53" s="3"/>
      <c r="V53" s="3"/>
      <c r="W53" s="3"/>
      <c r="X53" s="3"/>
      <c r="Y53" s="3"/>
      <c r="Z53" s="3"/>
    </row>
    <row r="54" ht="79.5" customHeight="1">
      <c r="A54" s="29" t="s">
        <v>422</v>
      </c>
      <c r="B54" s="30" t="s">
        <v>423</v>
      </c>
      <c r="C54" s="29" t="s">
        <v>398</v>
      </c>
      <c r="D54" s="38" t="s">
        <v>93</v>
      </c>
      <c r="E54" s="38" t="s">
        <v>93</v>
      </c>
      <c r="F54" s="29" t="s">
        <v>75</v>
      </c>
      <c r="G54" s="30" t="s">
        <v>359</v>
      </c>
      <c r="H54" s="30" t="s">
        <v>424</v>
      </c>
      <c r="I54" s="30" t="s">
        <v>133</v>
      </c>
      <c r="J54" s="30" t="s">
        <v>425</v>
      </c>
      <c r="K54" s="30"/>
      <c r="L54" s="32" t="s">
        <v>68</v>
      </c>
      <c r="M54" s="29"/>
      <c r="N54" s="33" t="s">
        <v>69</v>
      </c>
      <c r="O54" s="29" t="s">
        <v>426</v>
      </c>
      <c r="P54" s="29" t="s">
        <v>71</v>
      </c>
      <c r="Q54" s="30"/>
      <c r="R54" s="3"/>
      <c r="S54" s="3"/>
      <c r="T54" s="3"/>
      <c r="U54" s="3"/>
      <c r="V54" s="3"/>
      <c r="W54" s="3"/>
      <c r="X54" s="3"/>
      <c r="Y54" s="3"/>
      <c r="Z54" s="3"/>
    </row>
    <row r="55" ht="79.5" customHeight="1">
      <c r="A55" s="34" t="s">
        <v>427</v>
      </c>
      <c r="B55" s="35" t="s">
        <v>428</v>
      </c>
      <c r="C55" s="34" t="s">
        <v>398</v>
      </c>
      <c r="D55" s="38" t="s">
        <v>93</v>
      </c>
      <c r="E55" s="38" t="s">
        <v>93</v>
      </c>
      <c r="F55" s="34" t="s">
        <v>75</v>
      </c>
      <c r="G55" s="35" t="s">
        <v>429</v>
      </c>
      <c r="H55" s="35" t="s">
        <v>430</v>
      </c>
      <c r="I55" s="35" t="s">
        <v>431</v>
      </c>
      <c r="J55" s="35" t="s">
        <v>432</v>
      </c>
      <c r="K55" s="35"/>
      <c r="L55" s="39" t="s">
        <v>104</v>
      </c>
      <c r="M55" s="34"/>
      <c r="N55" s="35"/>
      <c r="O55" s="34" t="s">
        <v>426</v>
      </c>
      <c r="P55" s="34" t="s">
        <v>71</v>
      </c>
      <c r="Q55" s="35" t="s">
        <v>433</v>
      </c>
      <c r="R55" s="3"/>
      <c r="S55" s="3"/>
      <c r="T55" s="3"/>
      <c r="U55" s="3"/>
      <c r="V55" s="3"/>
      <c r="W55" s="3"/>
      <c r="X55" s="3"/>
      <c r="Y55" s="3"/>
      <c r="Z55" s="3"/>
    </row>
    <row r="56" ht="90.0"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90.0"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90.0"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90.0"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90.0"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90.0"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90.0"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90.0"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90.0"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90.0"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90.0"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90.0"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90.0"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90.0"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90.0"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90.0"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90.0"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90.0"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90.0"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90.0"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90.0"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90.0"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90.0"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90.0"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90.0"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90.0"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90.0"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90.0"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90.0"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90.0"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90.0"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90.0"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90.0"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90.0"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90.0"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90.0"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90.0"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90.0"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90.0"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90.0"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90.0"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90.0"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90.0"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90.0"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90.0"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90.0"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90.0"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90.0"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90.0"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90.0"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90.0"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90.0"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90.0"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90.0"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90.0"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90.0"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90.0"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90.0"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90.0"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90.0"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90.0"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90.0"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90.0"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90.0"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90.0"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90.0"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90.0"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90.0"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90.0"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90.0"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90.0"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90.0"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90.0"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90.0"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90.0"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90.0"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90.0"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90.0"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90.0"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90.0"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90.0"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90.0"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90.0"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90.0"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90.0"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90.0"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90.0"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90.0"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90.0"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90.0"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90.0"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90.0"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90.0"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90.0"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90.0"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90.0"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90.0"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90.0"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90.0"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90.0"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90.0"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90.0"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90.0"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90.0"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90.0"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90.0"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90.0"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90.0"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90.0"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90.0"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90.0"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90.0"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90.0"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90.0"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90.0"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90.0"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90.0"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90.0"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90.0"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90.0"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90.0"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90.0"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90.0"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90.0"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90.0"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90.0"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90.0"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90.0"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90.0"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90.0"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90.0"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90.0"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90.0"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90.0"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90.0"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90.0"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90.0"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90.0"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90.0"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90.0"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90.0"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90.0"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90.0"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90.0"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90.0"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90.0"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90.0"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90.0"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90.0"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90.0"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90.0"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90.0"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90.0"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90.0"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90.0"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90.0"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90.0"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90.0"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90.0"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90.0"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90.0"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90.0"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90.0"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90.0"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90.0"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90.0"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90.0"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90.0"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90.0"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90.0"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90.0"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90.0"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90.0"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90.0"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90.0"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90.0"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90.0"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90.0"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90.0"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90.0"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90.0"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90.0"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90.0"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90.0"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90.0"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90.0"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90.0"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90.0"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90.0"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90.0"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90.0"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90.0"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90.0"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90.0"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90.0"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90.0"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90.0"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90.0"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90.0"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90.0"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90.0"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90.0"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90.0"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90.0"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90.0"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90.0"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90.0"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90.0"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90.0"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90.0"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90.0"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90.0"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90.0"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90.0"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90.0"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90.0"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90.0"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90.0"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90.0"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90.0"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90.0"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90.0"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90.0"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90.0"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90.0"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90.0"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90.0"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90.0"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90.0"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90.0"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90.0"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90.0"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90.0"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90.0"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90.0"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90.0"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90.0"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90.0"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90.0"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90.0"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90.0"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90.0"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90.0"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90.0"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90.0"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90.0"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90.0"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90.0"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90.0"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90.0"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90.0"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90.0"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90.0"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90.0"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90.0"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90.0"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90.0"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90.0"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90.0"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90.0"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90.0"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90.0"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90.0"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90.0"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90.0"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90.0"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90.0"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90.0"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90.0"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90.0"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90.0"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90.0"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90.0"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90.0"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90.0"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90.0"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90.0"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90.0"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90.0"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90.0"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90.0"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90.0"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90.0"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90.0"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90.0"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90.0"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90.0"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90.0"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90.0"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90.0"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90.0"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90.0"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90.0"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90.0"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90.0"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90.0"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90.0"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90.0"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90.0"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90.0"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90.0"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90.0"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90.0"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90.0"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90.0"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90.0"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90.0"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90.0"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90.0"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90.0"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90.0"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90.0"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90.0"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90.0"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90.0"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90.0"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90.0"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90.0"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90.0"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90.0"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90.0"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90.0"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90.0"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90.0"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90.0"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90.0"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90.0"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90.0"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90.0"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90.0"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90.0"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90.0"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90.0"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90.0"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90.0"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90.0"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90.0"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90.0"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90.0"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90.0"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90.0"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90.0"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90.0"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90.0"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90.0"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90.0"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90.0"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90.0"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90.0"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90.0"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90.0"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90.0"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90.0"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90.0"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90.0"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90.0"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90.0"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90.0"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90.0"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90.0"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90.0"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90.0"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90.0"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90.0"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90.0"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90.0"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90.0"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90.0"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90.0"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90.0"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90.0"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90.0"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90.0"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90.0"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90.0"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90.0"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90.0"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90.0"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90.0"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90.0"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90.0"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90.0"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90.0"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90.0"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90.0"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90.0"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90.0"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90.0"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90.0"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90.0"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90.0"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90.0"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90.0"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90.0"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90.0"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90.0"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90.0"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90.0"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90.0"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90.0"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90.0"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90.0"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90.0"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90.0"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90.0"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90.0"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90.0"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90.0"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90.0"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90.0"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90.0"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90.0"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90.0"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90.0"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90.0"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90.0"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90.0"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90.0"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90.0"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90.0"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90.0"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90.0"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90.0"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90.0"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90.0"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90.0"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90.0"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90.0"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90.0"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90.0"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90.0"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90.0"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90.0"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90.0"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90.0"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90.0"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90.0"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90.0"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90.0"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90.0"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90.0"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90.0"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90.0"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90.0"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90.0"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90.0"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90.0"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90.0"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90.0"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90.0"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90.0"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90.0"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90.0"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90.0"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90.0"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90.0"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90.0"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90.0"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90.0"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90.0"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90.0"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90.0"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90.0"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90.0"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90.0"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90.0"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90.0"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90.0"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90.0"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90.0"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90.0"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90.0"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90.0"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90.0"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90.0"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90.0"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90.0"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90.0"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90.0"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90.0"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90.0"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90.0"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90.0"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90.0"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90.0"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90.0"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90.0"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90.0"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90.0"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90.0"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90.0"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90.0"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90.0"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90.0"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90.0"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90.0"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90.0"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90.0"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90.0"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90.0"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90.0"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90.0"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90.0"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90.0"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90.0"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90.0"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90.0"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90.0"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90.0"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90.0"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90.0"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90.0"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90.0"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90.0"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90.0"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90.0"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90.0"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90.0"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90.0"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90.0"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90.0"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90.0"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90.0"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90.0"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90.0"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90.0"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90.0"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90.0"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90.0"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90.0"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90.0"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90.0"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90.0"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90.0"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90.0"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90.0"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90.0"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90.0"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90.0"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90.0"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90.0"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90.0"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90.0"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90.0"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90.0"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90.0"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90.0"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90.0"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90.0"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90.0"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90.0"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90.0"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90.0"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90.0"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90.0"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90.0"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90.0"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90.0"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90.0"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90.0"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90.0"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90.0"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90.0"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90.0"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90.0"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90.0"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90.0"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90.0"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90.0"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90.0"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90.0"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90.0"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90.0"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90.0"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90.0"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90.0"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90.0"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90.0"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90.0"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90.0"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90.0"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90.0"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90.0"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90.0"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90.0"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90.0"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90.0"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90.0"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90.0"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90.0"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90.0"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90.0"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90.0"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90.0"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90.0"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90.0"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90.0"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90.0"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90.0"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90.0"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90.0"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90.0"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90.0"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90.0"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90.0"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90.0"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90.0"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90.0"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90.0"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90.0"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90.0"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90.0"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90.0"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90.0"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90.0"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90.0"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90.0"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90.0"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90.0"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90.0"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90.0"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90.0"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90.0"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90.0"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90.0"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90.0"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90.0"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90.0"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90.0"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90.0"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90.0"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90.0"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90.0"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90.0"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90.0"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90.0"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90.0"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90.0"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90.0"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90.0"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90.0"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90.0"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90.0"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90.0"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90.0"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90.0"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90.0"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90.0"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90.0"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90.0"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90.0"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90.0"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90.0"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90.0"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90.0"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90.0"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90.0"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90.0"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90.0"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90.0"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90.0"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90.0"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90.0"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90.0"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90.0"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90.0"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90.0"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90.0"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90.0"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90.0"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90.0"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90.0"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90.0"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90.0"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90.0"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90.0"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90.0"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90.0"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90.0"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90.0"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90.0"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90.0"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90.0"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90.0"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90.0"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90.0"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90.0"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90.0"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90.0"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90.0"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90.0"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90.0"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90.0"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90.0"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90.0"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90.0"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90.0"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90.0"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90.0"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90.0"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90.0"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90.0"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90.0"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90.0"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90.0"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90.0"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90.0"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90.0"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90.0"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90.0"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90.0"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90.0"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90.0"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90.0"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90.0"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90.0"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90.0"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90.0"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90.0"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90.0"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90.0"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90.0"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90.0"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90.0"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90.0"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90.0"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90.0"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90.0"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90.0"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90.0"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90.0"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90.0"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90.0"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90.0"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90.0"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90.0"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90.0"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90.0"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90.0"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90.0"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90.0"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90.0"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90.0"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90.0"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90.0"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90.0"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90.0"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90.0"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90.0"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90.0"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90.0"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90.0"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90.0"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90.0"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90.0"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90.0"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90.0"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90.0"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90.0"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90.0"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90.0"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90.0"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90.0"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90.0"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90.0"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90.0"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90.0"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90.0"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90.0"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90.0"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90.0"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90.0"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90.0"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90.0"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90.0"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90.0"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90.0"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90.0"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90.0"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90.0"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90.0"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90.0"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90.0"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90.0"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90.0"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90.0"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90.0"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90.0"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90.0"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90.0"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90.0"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90.0"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90.0"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90.0"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90.0"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90.0"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90.0"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90.0"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90.0"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90.0"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90.0"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90.0"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90.0"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90.0"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90.0"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90.0"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90.0"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90.0"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90.0"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90.0"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90.0"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90.0"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90.0"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90.0"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90.0"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90.0"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90.0"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90.0"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90.0"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90.0"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90.0"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90.0"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90.0"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90.0"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90.0"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90.0"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90.0"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90.0"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90.0"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90.0"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90.0"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90.0"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90.0"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90.0"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90.0"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90.0"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90.0"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90.0"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90.0"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90.0"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90.0"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90.0"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90.0"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90.0"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90.0"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90.0"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90.0"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90.0"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90.0"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90.0"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90.0"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90.0"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90.0"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90.0"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90.0"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90.0"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90.0"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90.0"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90.0"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90.0"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90.0"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90.0"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90.0"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90.0"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90.0"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90.0"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90.0"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90.0"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90.0"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90.0"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90.0"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90.0"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90.0"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90.0"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90.0"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90.0"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90.0"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90.0"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90.0"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90.0"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90.0"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90.0"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90.0"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90.0"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90.0"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90.0"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90.0"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90.0"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90.0"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90.0"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90.0"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90.0"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90.0"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90.0"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90.0"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90.0"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90.0"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90.0"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90.0"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90.0"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90.0"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90.0"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90.0"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90.0"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90.0"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90.0"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90.0"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90.0"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90.0"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90.0"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90.0"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90.0"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90.0"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90.0"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90.0"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90.0"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90.0"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90.0"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90.0"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90.0"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90.0"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90.0"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90.0"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90.0"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90.0"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90.0"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90.0"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90.0"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90.0"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90.0"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90.0"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90.0"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90.0"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90.0"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90.0"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90.0"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90.0"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90.0"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90.0"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90.0"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90.0"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90.0"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90.0"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90.0"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90.0"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autoFilter ref="$A$3:$Q$3"/>
  <mergeCells count="4">
    <mergeCell ref="A1:Q1"/>
    <mergeCell ref="A2:G2"/>
    <mergeCell ref="H2:M2"/>
    <mergeCell ref="N2:Q2"/>
  </mergeCells>
  <dataValidations>
    <dataValidation type="list" allowBlank="1" sqref="L4:L200">
      <formula1>"Not Executed,In Progress,Pass,Fail,Blocked,Skipped,N/A"</formula1>
    </dataValidation>
    <dataValidation type="list" allowBlank="1" sqref="P4:P200">
      <formula1>"Có,Không,Một phần"</formula1>
    </dataValidation>
    <dataValidation type="list" allowBlank="1" sqref="F4:F200">
      <formula1>"Positive,Negative,Boundary,Edge Case,Performance,Security,UI,Regression,Smoke"</formula1>
    </dataValidation>
    <dataValidation type="list" allowBlank="1" sqref="D4:E200">
      <formula1>"Critical,High,Medium,Low"</formula1>
    </dataValidation>
  </dataValidations>
  <printOptions/>
  <pageMargins bottom="1.0" footer="0.0" header="0.0" left="0.75" right="0.75" top="1.0"/>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1.29"/>
    <col customWidth="1" min="2" max="2" width="28.0"/>
    <col customWidth="1" min="3" max="3" width="12.29"/>
    <col customWidth="1" min="4" max="5" width="12.0"/>
    <col customWidth="1" min="6" max="6" width="22.0"/>
    <col customWidth="1" min="7" max="7" width="14.0"/>
    <col customWidth="1" min="8" max="10" width="30.0"/>
    <col customWidth="1" min="11" max="11" width="14.0"/>
    <col customWidth="1" min="12" max="13" width="16.0"/>
    <col customWidth="1" min="14" max="14" width="14.0"/>
    <col customWidth="1" min="15" max="15" width="22.0"/>
    <col customWidth="1" min="16" max="26" width="8.86"/>
  </cols>
  <sheetData>
    <row r="1" ht="49.5" customHeight="1">
      <c r="A1" s="43" t="s">
        <v>434</v>
      </c>
      <c r="B1" s="23"/>
      <c r="C1" s="23"/>
      <c r="D1" s="23"/>
      <c r="E1" s="23"/>
      <c r="F1" s="23"/>
      <c r="G1" s="23"/>
      <c r="H1" s="23"/>
      <c r="I1" s="23"/>
      <c r="J1" s="23"/>
      <c r="K1" s="23"/>
      <c r="L1" s="23"/>
      <c r="M1" s="23"/>
      <c r="N1" s="23"/>
      <c r="O1" s="2"/>
      <c r="P1" s="3"/>
      <c r="Q1" s="3"/>
      <c r="R1" s="3"/>
      <c r="S1" s="3"/>
      <c r="T1" s="3"/>
      <c r="U1" s="3"/>
      <c r="V1" s="3"/>
      <c r="W1" s="3"/>
      <c r="X1" s="3"/>
      <c r="Y1" s="3"/>
      <c r="Z1" s="3"/>
    </row>
    <row r="2" ht="30.0" customHeight="1">
      <c r="A2" s="44" t="s">
        <v>435</v>
      </c>
      <c r="B2" s="23"/>
      <c r="C2" s="23"/>
      <c r="D2" s="23"/>
      <c r="E2" s="23"/>
      <c r="F2" s="23"/>
      <c r="G2" s="23"/>
      <c r="H2" s="23"/>
      <c r="I2" s="23"/>
      <c r="J2" s="23"/>
      <c r="K2" s="23"/>
      <c r="L2" s="23"/>
      <c r="M2" s="23"/>
      <c r="N2" s="23"/>
      <c r="O2" s="2"/>
      <c r="P2" s="3"/>
      <c r="Q2" s="3"/>
      <c r="R2" s="3"/>
      <c r="S2" s="3"/>
      <c r="T2" s="3"/>
      <c r="U2" s="3"/>
      <c r="V2" s="3"/>
      <c r="W2" s="3"/>
      <c r="X2" s="3"/>
      <c r="Y2" s="3"/>
      <c r="Z2" s="3"/>
    </row>
    <row r="3" ht="30.0" customHeight="1">
      <c r="A3" s="26" t="s">
        <v>436</v>
      </c>
      <c r="B3" s="26" t="s">
        <v>437</v>
      </c>
      <c r="C3" s="26" t="s">
        <v>44</v>
      </c>
      <c r="D3" s="26" t="s">
        <v>46</v>
      </c>
      <c r="E3" s="26" t="s">
        <v>45</v>
      </c>
      <c r="F3" s="26" t="s">
        <v>438</v>
      </c>
      <c r="G3" s="27" t="s">
        <v>439</v>
      </c>
      <c r="H3" s="26" t="s">
        <v>440</v>
      </c>
      <c r="I3" s="26" t="s">
        <v>441</v>
      </c>
      <c r="J3" s="26" t="s">
        <v>442</v>
      </c>
      <c r="K3" s="26" t="s">
        <v>53</v>
      </c>
      <c r="L3" s="26" t="s">
        <v>443</v>
      </c>
      <c r="M3" s="26" t="s">
        <v>444</v>
      </c>
      <c r="N3" s="26" t="s">
        <v>445</v>
      </c>
      <c r="O3" s="26" t="s">
        <v>58</v>
      </c>
      <c r="P3" s="3"/>
      <c r="Q3" s="3"/>
      <c r="R3" s="3"/>
      <c r="S3" s="3"/>
      <c r="T3" s="3"/>
      <c r="U3" s="3"/>
      <c r="V3" s="3"/>
      <c r="W3" s="3"/>
      <c r="X3" s="3"/>
      <c r="Y3" s="3"/>
      <c r="Z3" s="3"/>
    </row>
    <row r="4" ht="79.5" customHeight="1">
      <c r="A4" s="45"/>
      <c r="B4" s="46"/>
      <c r="C4" s="46"/>
      <c r="D4" s="47"/>
      <c r="E4" s="47"/>
      <c r="F4" s="46"/>
      <c r="G4" s="46"/>
      <c r="H4" s="46"/>
      <c r="I4" s="46"/>
      <c r="J4" s="46"/>
      <c r="K4" s="48"/>
      <c r="L4" s="49"/>
      <c r="M4" s="49"/>
      <c r="N4" s="49"/>
      <c r="O4" s="46"/>
      <c r="P4" s="3"/>
      <c r="Q4" s="3"/>
      <c r="R4" s="3"/>
      <c r="S4" s="3"/>
      <c r="T4" s="3"/>
      <c r="U4" s="3"/>
      <c r="V4" s="3"/>
      <c r="W4" s="3"/>
      <c r="X4" s="3"/>
      <c r="Y4" s="3"/>
      <c r="Z4" s="3"/>
    </row>
    <row r="5" ht="79.5" customHeight="1">
      <c r="A5" s="50"/>
      <c r="B5" s="51"/>
      <c r="C5" s="51"/>
      <c r="D5" s="47"/>
      <c r="E5" s="47"/>
      <c r="F5" s="51"/>
      <c r="G5" s="51"/>
      <c r="H5" s="51"/>
      <c r="I5" s="51"/>
      <c r="J5" s="51"/>
      <c r="K5" s="48"/>
      <c r="L5" s="52"/>
      <c r="M5" s="52"/>
      <c r="N5" s="52"/>
      <c r="O5" s="51"/>
      <c r="P5" s="3"/>
      <c r="Q5" s="3"/>
      <c r="R5" s="3"/>
      <c r="S5" s="3"/>
      <c r="T5" s="3"/>
      <c r="U5" s="3"/>
      <c r="V5" s="3"/>
      <c r="W5" s="3"/>
      <c r="X5" s="3"/>
      <c r="Y5" s="3"/>
      <c r="Z5" s="3"/>
    </row>
    <row r="6" ht="79.5" customHeight="1">
      <c r="A6" s="53"/>
      <c r="B6" s="53"/>
      <c r="C6" s="53"/>
      <c r="D6" s="53"/>
      <c r="E6" s="53"/>
      <c r="F6" s="53"/>
      <c r="G6" s="53"/>
      <c r="H6" s="53"/>
      <c r="I6" s="53"/>
      <c r="J6" s="53"/>
      <c r="K6" s="53"/>
      <c r="L6" s="53"/>
      <c r="M6" s="53"/>
      <c r="N6" s="53"/>
      <c r="O6" s="53"/>
      <c r="P6" s="3"/>
      <c r="Q6" s="3"/>
      <c r="R6" s="3"/>
      <c r="S6" s="3"/>
      <c r="T6" s="3"/>
      <c r="U6" s="3"/>
      <c r="V6" s="3"/>
      <c r="W6" s="3"/>
      <c r="X6" s="3"/>
      <c r="Y6" s="3"/>
      <c r="Z6" s="3"/>
    </row>
    <row r="7" ht="79.5" customHeight="1">
      <c r="A7" s="54"/>
      <c r="B7" s="54"/>
      <c r="C7" s="54"/>
      <c r="D7" s="54"/>
      <c r="E7" s="54"/>
      <c r="F7" s="54"/>
      <c r="G7" s="54"/>
      <c r="H7" s="54"/>
      <c r="I7" s="54"/>
      <c r="J7" s="54"/>
      <c r="K7" s="54"/>
      <c r="L7" s="54"/>
      <c r="M7" s="54"/>
      <c r="N7" s="54"/>
      <c r="O7" s="54"/>
      <c r="P7" s="3"/>
      <c r="Q7" s="3"/>
      <c r="R7" s="3"/>
      <c r="S7" s="3"/>
      <c r="T7" s="3"/>
      <c r="U7" s="3"/>
      <c r="V7" s="3"/>
      <c r="W7" s="3"/>
      <c r="X7" s="3"/>
      <c r="Y7" s="3"/>
      <c r="Z7" s="3"/>
    </row>
    <row r="8" ht="79.5" customHeight="1">
      <c r="A8" s="53"/>
      <c r="B8" s="53"/>
      <c r="C8" s="53"/>
      <c r="D8" s="53"/>
      <c r="E8" s="53"/>
      <c r="F8" s="53"/>
      <c r="G8" s="53"/>
      <c r="H8" s="53"/>
      <c r="I8" s="53"/>
      <c r="J8" s="53"/>
      <c r="K8" s="53"/>
      <c r="L8" s="53"/>
      <c r="M8" s="53"/>
      <c r="N8" s="53"/>
      <c r="O8" s="53"/>
      <c r="P8" s="3"/>
      <c r="Q8" s="3"/>
      <c r="R8" s="3"/>
      <c r="S8" s="3"/>
      <c r="T8" s="3"/>
      <c r="U8" s="3"/>
      <c r="V8" s="3"/>
      <c r="W8" s="3"/>
      <c r="X8" s="3"/>
      <c r="Y8" s="3"/>
      <c r="Z8" s="3"/>
    </row>
    <row r="9" ht="79.5" customHeight="1">
      <c r="A9" s="54"/>
      <c r="B9" s="54"/>
      <c r="C9" s="54"/>
      <c r="D9" s="54"/>
      <c r="E9" s="54"/>
      <c r="F9" s="54"/>
      <c r="G9" s="54"/>
      <c r="H9" s="54"/>
      <c r="I9" s="54"/>
      <c r="J9" s="54"/>
      <c r="K9" s="54"/>
      <c r="L9" s="54"/>
      <c r="M9" s="54"/>
      <c r="N9" s="54"/>
      <c r="O9" s="54"/>
      <c r="P9" s="3"/>
      <c r="Q9" s="3"/>
      <c r="R9" s="3"/>
      <c r="S9" s="3"/>
      <c r="T9" s="3"/>
      <c r="U9" s="3"/>
      <c r="V9" s="3"/>
      <c r="W9" s="3"/>
      <c r="X9" s="3"/>
      <c r="Y9" s="3"/>
      <c r="Z9" s="3"/>
    </row>
    <row r="10" ht="79.5" customHeight="1">
      <c r="A10" s="53"/>
      <c r="B10" s="53"/>
      <c r="C10" s="53"/>
      <c r="D10" s="53"/>
      <c r="E10" s="53"/>
      <c r="F10" s="53"/>
      <c r="G10" s="53"/>
      <c r="H10" s="53"/>
      <c r="I10" s="53"/>
      <c r="J10" s="53"/>
      <c r="K10" s="53"/>
      <c r="L10" s="53"/>
      <c r="M10" s="53"/>
      <c r="N10" s="53"/>
      <c r="O10" s="53"/>
      <c r="P10" s="3"/>
      <c r="Q10" s="3"/>
      <c r="R10" s="3"/>
      <c r="S10" s="3"/>
      <c r="T10" s="3"/>
      <c r="U10" s="3"/>
      <c r="V10" s="3"/>
      <c r="W10" s="3"/>
      <c r="X10" s="3"/>
      <c r="Y10" s="3"/>
      <c r="Z10" s="3"/>
    </row>
    <row r="11" ht="79.5" customHeight="1">
      <c r="A11" s="54"/>
      <c r="B11" s="54"/>
      <c r="C11" s="54"/>
      <c r="D11" s="54"/>
      <c r="E11" s="54"/>
      <c r="F11" s="54"/>
      <c r="G11" s="54"/>
      <c r="H11" s="54"/>
      <c r="I11" s="54"/>
      <c r="J11" s="54"/>
      <c r="K11" s="54"/>
      <c r="L11" s="54"/>
      <c r="M11" s="54"/>
      <c r="N11" s="54"/>
      <c r="O11" s="54"/>
      <c r="P11" s="3"/>
      <c r="Q11" s="3"/>
      <c r="R11" s="3"/>
      <c r="S11" s="3"/>
      <c r="T11" s="3"/>
      <c r="U11" s="3"/>
      <c r="V11" s="3"/>
      <c r="W11" s="3"/>
      <c r="X11" s="3"/>
      <c r="Y11" s="3"/>
      <c r="Z11" s="3"/>
    </row>
    <row r="12" ht="79.5" customHeight="1">
      <c r="A12" s="53"/>
      <c r="B12" s="53"/>
      <c r="C12" s="53"/>
      <c r="D12" s="53"/>
      <c r="E12" s="53"/>
      <c r="F12" s="53"/>
      <c r="G12" s="53"/>
      <c r="H12" s="53"/>
      <c r="I12" s="53"/>
      <c r="J12" s="53"/>
      <c r="K12" s="53"/>
      <c r="L12" s="53"/>
      <c r="M12" s="53"/>
      <c r="N12" s="53"/>
      <c r="O12" s="53"/>
      <c r="P12" s="3"/>
      <c r="Q12" s="3"/>
      <c r="R12" s="3"/>
      <c r="S12" s="3"/>
      <c r="T12" s="3"/>
      <c r="U12" s="3"/>
      <c r="V12" s="3"/>
      <c r="W12" s="3"/>
      <c r="X12" s="3"/>
      <c r="Y12" s="3"/>
      <c r="Z12" s="3"/>
    </row>
    <row r="13" ht="79.5" customHeight="1">
      <c r="A13" s="54"/>
      <c r="B13" s="54"/>
      <c r="C13" s="54"/>
      <c r="D13" s="54"/>
      <c r="E13" s="54"/>
      <c r="F13" s="54"/>
      <c r="G13" s="54"/>
      <c r="H13" s="54"/>
      <c r="I13" s="54"/>
      <c r="J13" s="54"/>
      <c r="K13" s="54"/>
      <c r="L13" s="54"/>
      <c r="M13" s="54"/>
      <c r="N13" s="54"/>
      <c r="O13" s="54"/>
      <c r="P13" s="3"/>
      <c r="Q13" s="3"/>
      <c r="R13" s="3"/>
      <c r="S13" s="3"/>
      <c r="T13" s="3"/>
      <c r="U13" s="3"/>
      <c r="V13" s="3"/>
      <c r="W13" s="3"/>
      <c r="X13" s="3"/>
      <c r="Y13" s="3"/>
      <c r="Z13" s="3"/>
    </row>
    <row r="14" ht="79.5" customHeight="1">
      <c r="A14" s="53"/>
      <c r="B14" s="53"/>
      <c r="C14" s="53"/>
      <c r="D14" s="53"/>
      <c r="E14" s="53"/>
      <c r="F14" s="53"/>
      <c r="G14" s="53"/>
      <c r="H14" s="53"/>
      <c r="I14" s="53"/>
      <c r="J14" s="53"/>
      <c r="K14" s="53"/>
      <c r="L14" s="53"/>
      <c r="M14" s="53"/>
      <c r="N14" s="53"/>
      <c r="O14" s="53"/>
      <c r="P14" s="3"/>
      <c r="Q14" s="3"/>
      <c r="R14" s="3"/>
      <c r="S14" s="3"/>
      <c r="T14" s="3"/>
      <c r="U14" s="3"/>
      <c r="V14" s="3"/>
      <c r="W14" s="3"/>
      <c r="X14" s="3"/>
      <c r="Y14" s="3"/>
      <c r="Z14" s="3"/>
    </row>
    <row r="15" ht="79.5" customHeight="1">
      <c r="A15" s="54"/>
      <c r="B15" s="54"/>
      <c r="C15" s="54"/>
      <c r="D15" s="54"/>
      <c r="E15" s="54"/>
      <c r="F15" s="54"/>
      <c r="G15" s="54"/>
      <c r="H15" s="54"/>
      <c r="I15" s="54"/>
      <c r="J15" s="54"/>
      <c r="K15" s="54"/>
      <c r="L15" s="54"/>
      <c r="M15" s="54"/>
      <c r="N15" s="54"/>
      <c r="O15" s="54"/>
      <c r="P15" s="3"/>
      <c r="Q15" s="3"/>
      <c r="R15" s="3"/>
      <c r="S15" s="3"/>
      <c r="T15" s="3"/>
      <c r="U15" s="3"/>
      <c r="V15" s="3"/>
      <c r="W15" s="3"/>
      <c r="X15" s="3"/>
      <c r="Y15" s="3"/>
      <c r="Z15" s="3"/>
    </row>
    <row r="16" ht="79.5" customHeight="1">
      <c r="A16" s="53"/>
      <c r="B16" s="53"/>
      <c r="C16" s="53"/>
      <c r="D16" s="53"/>
      <c r="E16" s="53"/>
      <c r="F16" s="53"/>
      <c r="G16" s="53"/>
      <c r="H16" s="53"/>
      <c r="I16" s="53"/>
      <c r="J16" s="53"/>
      <c r="K16" s="53"/>
      <c r="L16" s="53"/>
      <c r="M16" s="53"/>
      <c r="N16" s="53"/>
      <c r="O16" s="53"/>
      <c r="P16" s="3"/>
      <c r="Q16" s="3"/>
      <c r="R16" s="3"/>
      <c r="S16" s="3"/>
      <c r="T16" s="3"/>
      <c r="U16" s="3"/>
      <c r="V16" s="3"/>
      <c r="W16" s="3"/>
      <c r="X16" s="3"/>
      <c r="Y16" s="3"/>
      <c r="Z16" s="3"/>
    </row>
    <row r="17" ht="79.5" customHeight="1">
      <c r="A17" s="54"/>
      <c r="B17" s="54"/>
      <c r="C17" s="54"/>
      <c r="D17" s="54"/>
      <c r="E17" s="54"/>
      <c r="F17" s="54"/>
      <c r="G17" s="54"/>
      <c r="H17" s="54"/>
      <c r="I17" s="54"/>
      <c r="J17" s="54"/>
      <c r="K17" s="54"/>
      <c r="L17" s="54"/>
      <c r="M17" s="54"/>
      <c r="N17" s="54"/>
      <c r="O17" s="54"/>
      <c r="P17" s="3"/>
      <c r="Q17" s="3"/>
      <c r="R17" s="3"/>
      <c r="S17" s="3"/>
      <c r="T17" s="3"/>
      <c r="U17" s="3"/>
      <c r="V17" s="3"/>
      <c r="W17" s="3"/>
      <c r="X17" s="3"/>
      <c r="Y17" s="3"/>
      <c r="Z17" s="3"/>
    </row>
    <row r="18" ht="79.5" customHeight="1">
      <c r="A18" s="53"/>
      <c r="B18" s="53"/>
      <c r="C18" s="53"/>
      <c r="D18" s="53"/>
      <c r="E18" s="53"/>
      <c r="F18" s="53"/>
      <c r="G18" s="53"/>
      <c r="H18" s="53"/>
      <c r="I18" s="53"/>
      <c r="J18" s="53"/>
      <c r="K18" s="53"/>
      <c r="L18" s="53"/>
      <c r="M18" s="53"/>
      <c r="N18" s="53"/>
      <c r="O18" s="53"/>
      <c r="P18" s="3"/>
      <c r="Q18" s="3"/>
      <c r="R18" s="3"/>
      <c r="S18" s="3"/>
      <c r="T18" s="3"/>
      <c r="U18" s="3"/>
      <c r="V18" s="3"/>
      <c r="W18" s="3"/>
      <c r="X18" s="3"/>
      <c r="Y18" s="3"/>
      <c r="Z18" s="3"/>
    </row>
    <row r="19" ht="79.5" customHeight="1">
      <c r="A19" s="54"/>
      <c r="B19" s="54"/>
      <c r="C19" s="54"/>
      <c r="D19" s="54"/>
      <c r="E19" s="54"/>
      <c r="F19" s="54"/>
      <c r="G19" s="54"/>
      <c r="H19" s="54"/>
      <c r="I19" s="54"/>
      <c r="J19" s="54"/>
      <c r="K19" s="54"/>
      <c r="L19" s="54"/>
      <c r="M19" s="54"/>
      <c r="N19" s="54"/>
      <c r="O19" s="54"/>
      <c r="P19" s="3"/>
      <c r="Q19" s="3"/>
      <c r="R19" s="3"/>
      <c r="S19" s="3"/>
      <c r="T19" s="3"/>
      <c r="U19" s="3"/>
      <c r="V19" s="3"/>
      <c r="W19" s="3"/>
      <c r="X19" s="3"/>
      <c r="Y19" s="3"/>
      <c r="Z19" s="3"/>
    </row>
    <row r="20" ht="79.5" customHeight="1">
      <c r="A20" s="53"/>
      <c r="B20" s="53"/>
      <c r="C20" s="53"/>
      <c r="D20" s="53"/>
      <c r="E20" s="53"/>
      <c r="F20" s="53"/>
      <c r="G20" s="53"/>
      <c r="H20" s="53"/>
      <c r="I20" s="53"/>
      <c r="J20" s="53"/>
      <c r="K20" s="53"/>
      <c r="L20" s="53"/>
      <c r="M20" s="53"/>
      <c r="N20" s="53"/>
      <c r="O20" s="53"/>
      <c r="P20" s="3"/>
      <c r="Q20" s="3"/>
      <c r="R20" s="3"/>
      <c r="S20" s="3"/>
      <c r="T20" s="3"/>
      <c r="U20" s="3"/>
      <c r="V20" s="3"/>
      <c r="W20" s="3"/>
      <c r="X20" s="3"/>
      <c r="Y20" s="3"/>
      <c r="Z20" s="3"/>
    </row>
    <row r="21" ht="79.5" customHeight="1">
      <c r="A21" s="54"/>
      <c r="B21" s="54"/>
      <c r="C21" s="54"/>
      <c r="D21" s="54"/>
      <c r="E21" s="54"/>
      <c r="F21" s="54"/>
      <c r="G21" s="54"/>
      <c r="H21" s="54"/>
      <c r="I21" s="54"/>
      <c r="J21" s="54"/>
      <c r="K21" s="54"/>
      <c r="L21" s="54"/>
      <c r="M21" s="54"/>
      <c r="N21" s="54"/>
      <c r="O21" s="54"/>
      <c r="P21" s="3"/>
      <c r="Q21" s="3"/>
      <c r="R21" s="3"/>
      <c r="S21" s="3"/>
      <c r="T21" s="3"/>
      <c r="U21" s="3"/>
      <c r="V21" s="3"/>
      <c r="W21" s="3"/>
      <c r="X21" s="3"/>
      <c r="Y21" s="3"/>
      <c r="Z21" s="3"/>
    </row>
    <row r="22" ht="79.5" customHeight="1">
      <c r="A22" s="53"/>
      <c r="B22" s="53"/>
      <c r="C22" s="53"/>
      <c r="D22" s="53"/>
      <c r="E22" s="53"/>
      <c r="F22" s="53"/>
      <c r="G22" s="53"/>
      <c r="H22" s="53"/>
      <c r="I22" s="53"/>
      <c r="J22" s="53"/>
      <c r="K22" s="53"/>
      <c r="L22" s="53"/>
      <c r="M22" s="53"/>
      <c r="N22" s="53"/>
      <c r="O22" s="53"/>
      <c r="P22" s="3"/>
      <c r="Q22" s="3"/>
      <c r="R22" s="3"/>
      <c r="S22" s="3"/>
      <c r="T22" s="3"/>
      <c r="U22" s="3"/>
      <c r="V22" s="3"/>
      <c r="W22" s="3"/>
      <c r="X22" s="3"/>
      <c r="Y22" s="3"/>
      <c r="Z22" s="3"/>
    </row>
    <row r="23" ht="79.5" customHeight="1">
      <c r="A23" s="54"/>
      <c r="B23" s="54"/>
      <c r="C23" s="54"/>
      <c r="D23" s="54"/>
      <c r="E23" s="54"/>
      <c r="F23" s="54"/>
      <c r="G23" s="54"/>
      <c r="H23" s="54"/>
      <c r="I23" s="54"/>
      <c r="J23" s="54"/>
      <c r="K23" s="54"/>
      <c r="L23" s="54"/>
      <c r="M23" s="54"/>
      <c r="N23" s="54"/>
      <c r="O23" s="54"/>
      <c r="P23" s="3"/>
      <c r="Q23" s="3"/>
      <c r="R23" s="3"/>
      <c r="S23" s="3"/>
      <c r="T23" s="3"/>
      <c r="U23" s="3"/>
      <c r="V23" s="3"/>
      <c r="W23" s="3"/>
      <c r="X23" s="3"/>
      <c r="Y23" s="3"/>
      <c r="Z23" s="3"/>
    </row>
    <row r="24" ht="79.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79.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79.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79.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79.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79.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79.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79.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79.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79.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79.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79.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79.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79.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79.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79.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79.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79.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79.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79.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79.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79.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79.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79.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79.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79.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79.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79.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79.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79.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79.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79.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79.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79.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79.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79.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79.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79.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79.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79.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79.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79.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79.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79.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79.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79.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79.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79.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79.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79.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79.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79.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79.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79.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79.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79.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79.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79.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79.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79.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79.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79.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79.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79.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79.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79.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79.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79.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79.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79.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79.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79.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79.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79.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79.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79.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79.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79.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79.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79.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79.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79.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79.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79.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79.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79.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79.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79.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79.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79.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79.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79.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79.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79.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79.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79.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79.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79.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79.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79.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79.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79.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79.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79.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79.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79.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79.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79.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79.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79.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79.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79.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79.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79.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79.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79.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79.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79.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79.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79.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79.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79.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79.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79.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79.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79.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79.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79.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79.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79.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79.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79.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79.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79.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79.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79.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79.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79.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79.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79.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79.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79.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79.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79.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79.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79.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79.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79.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79.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79.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79.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79.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79.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79.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79.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79.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79.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79.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79.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79.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79.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79.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79.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79.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79.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79.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79.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79.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79.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79.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79.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79.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79.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79.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79.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79.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79.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79.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79.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79.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79.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79.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79.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79.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79.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79.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79.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79.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79.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79.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79.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79.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79.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79.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79.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79.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79.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79.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79.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79.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79.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79.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79.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79.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79.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79.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79.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79.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79.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79.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79.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79.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79.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79.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79.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79.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79.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79.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79.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79.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79.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79.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79.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79.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79.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79.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79.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79.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79.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79.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79.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79.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79.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79.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79.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79.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79.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79.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79.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79.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79.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79.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79.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79.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79.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79.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79.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79.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79.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79.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79.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79.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79.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79.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79.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79.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79.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79.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79.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79.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79.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79.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79.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79.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79.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79.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79.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79.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79.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79.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79.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79.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79.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79.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79.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79.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79.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79.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79.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79.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79.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79.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79.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79.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79.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79.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79.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79.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79.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79.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79.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79.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79.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79.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79.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79.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79.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79.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79.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79.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79.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79.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79.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79.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79.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79.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79.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79.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79.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79.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79.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79.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79.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79.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79.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79.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79.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79.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79.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79.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79.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79.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79.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79.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79.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79.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79.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79.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79.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79.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79.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79.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79.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79.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79.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79.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79.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79.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79.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79.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79.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79.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79.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79.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79.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79.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79.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79.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79.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79.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79.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79.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79.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79.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79.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79.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79.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79.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79.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79.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79.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79.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79.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79.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79.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79.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79.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79.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79.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79.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79.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79.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79.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79.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79.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79.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79.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79.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79.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79.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79.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79.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79.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79.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79.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79.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79.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79.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79.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79.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79.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79.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79.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79.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79.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79.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79.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79.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79.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79.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79.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79.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79.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79.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79.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79.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79.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79.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79.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79.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79.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79.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79.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79.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79.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79.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79.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79.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79.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79.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79.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79.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79.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79.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79.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79.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79.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79.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79.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79.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79.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79.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79.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79.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79.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79.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79.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79.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79.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79.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79.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79.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79.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79.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79.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79.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79.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79.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79.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79.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79.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79.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79.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79.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79.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79.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79.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79.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79.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79.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79.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79.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79.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79.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79.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79.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79.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79.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79.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79.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79.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79.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79.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79.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79.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79.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79.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79.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79.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79.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79.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79.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79.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79.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79.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79.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79.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79.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79.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79.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79.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79.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79.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79.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79.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79.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79.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79.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79.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79.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79.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79.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79.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79.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79.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79.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79.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79.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79.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79.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79.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79.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79.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79.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79.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79.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79.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79.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79.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79.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79.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79.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79.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79.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79.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79.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79.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79.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79.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79.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79.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79.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79.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79.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79.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79.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79.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79.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79.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79.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79.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79.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79.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79.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79.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79.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79.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79.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79.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79.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79.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79.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79.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79.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79.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79.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79.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79.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79.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79.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79.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79.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79.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79.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79.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79.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79.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79.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79.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79.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79.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79.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79.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79.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79.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79.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79.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79.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79.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79.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79.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79.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79.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79.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79.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79.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79.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79.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79.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79.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79.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79.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79.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79.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79.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79.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79.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79.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79.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79.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79.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79.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79.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79.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79.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79.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79.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79.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79.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79.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79.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79.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79.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79.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79.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79.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79.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79.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79.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79.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79.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79.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79.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79.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79.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79.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79.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79.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79.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79.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79.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79.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79.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79.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79.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79.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79.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79.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79.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79.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79.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79.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79.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79.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79.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79.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79.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79.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79.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79.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79.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79.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79.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79.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79.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79.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79.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79.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79.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79.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79.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79.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79.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79.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79.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79.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79.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79.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79.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79.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79.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79.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79.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79.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79.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79.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79.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79.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79.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79.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79.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79.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79.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79.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79.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79.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79.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79.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79.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79.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79.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79.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79.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79.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79.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79.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79.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79.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79.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79.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79.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79.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79.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79.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79.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79.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79.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79.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79.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79.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79.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79.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79.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79.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79.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79.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79.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79.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79.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79.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79.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79.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79.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79.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79.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79.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79.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79.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79.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79.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79.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79.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79.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79.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79.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79.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79.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79.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79.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79.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79.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79.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79.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79.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79.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79.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79.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79.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79.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79.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79.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79.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79.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79.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79.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79.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79.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79.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79.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79.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79.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79.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79.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79.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79.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79.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79.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79.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79.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79.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79.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79.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79.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79.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79.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79.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79.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79.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79.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79.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79.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79.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79.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79.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79.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79.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79.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79.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79.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79.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79.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79.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79.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79.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79.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79.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79.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79.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79.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79.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79.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79.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79.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79.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79.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79.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79.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79.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79.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79.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79.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79.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79.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79.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79.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79.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79.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79.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79.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79.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79.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79.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79.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79.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79.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79.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79.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79.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79.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79.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79.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79.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79.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79.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79.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79.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79.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79.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79.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79.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79.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79.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79.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79.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79.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79.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79.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79.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79.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79.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79.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79.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79.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79.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79.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79.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79.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79.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79.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79.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79.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79.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79.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79.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79.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79.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79.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79.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79.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79.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79.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79.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79.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79.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79.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79.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79.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79.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79.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79.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79.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79.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79.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79.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79.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79.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79.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79.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79.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79.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79.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79.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79.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79.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79.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79.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79.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79.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79.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79.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79.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79.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79.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79.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79.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79.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79.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79.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79.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79.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79.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79.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79.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79.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79.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79.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79.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79.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79.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79.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79.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79.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79.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79.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79.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79.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79.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79.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79.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79.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79.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79.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79.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79.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79.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79.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79.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79.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79.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79.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79.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79.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79.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79.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79.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79.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79.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79.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79.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79.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79.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79.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79.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79.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79.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79.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79.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79.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79.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79.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79.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79.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79.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79.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79.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79.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79.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79.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79.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79.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79.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79.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79.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79.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79.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79.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79.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autoFilter ref="$A$3:$O$3"/>
  <mergeCells count="2">
    <mergeCell ref="A1:O1"/>
    <mergeCell ref="A2:O2"/>
  </mergeCells>
  <dataValidations>
    <dataValidation type="list" allowBlank="1" sqref="E4:E200">
      <formula1>"P1,P2,P3,P4"</formula1>
    </dataValidation>
    <dataValidation type="list" allowBlank="1" sqref="K4:K200">
      <formula1>"Open,In Progress,Fixed,Reopen,Closed,Rejected,Deferred"</formula1>
    </dataValidation>
    <dataValidation type="list" allowBlank="1" sqref="D4:D200">
      <formula1>"Critical,High,Medium,Low"</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4" width="16.0"/>
    <col customWidth="1" min="5" max="5" width="1.71"/>
    <col customWidth="1" min="6" max="9" width="16.0"/>
    <col customWidth="1" min="10" max="26" width="8.86"/>
  </cols>
  <sheetData>
    <row r="1" ht="49.5" customHeight="1">
      <c r="A1" s="22" t="s">
        <v>446</v>
      </c>
      <c r="B1" s="23"/>
      <c r="C1" s="23"/>
      <c r="D1" s="23"/>
      <c r="E1" s="23"/>
      <c r="F1" s="23"/>
      <c r="G1" s="23"/>
      <c r="H1" s="23"/>
      <c r="I1" s="2"/>
      <c r="J1" s="3"/>
      <c r="K1" s="3"/>
      <c r="L1" s="3"/>
      <c r="M1" s="3"/>
      <c r="N1" s="3"/>
      <c r="O1" s="3"/>
      <c r="P1" s="3"/>
      <c r="Q1" s="3"/>
      <c r="R1" s="3"/>
      <c r="S1" s="3"/>
      <c r="T1" s="3"/>
      <c r="U1" s="3"/>
      <c r="V1" s="3"/>
      <c r="W1" s="3"/>
      <c r="X1" s="3"/>
      <c r="Y1" s="3"/>
      <c r="Z1" s="3"/>
    </row>
    <row r="2" ht="30.0" customHeight="1">
      <c r="A2" s="4" t="s">
        <v>447</v>
      </c>
      <c r="B2" s="23"/>
      <c r="C2" s="23"/>
      <c r="D2" s="23"/>
      <c r="E2" s="23"/>
      <c r="F2" s="23"/>
      <c r="G2" s="23"/>
      <c r="H2" s="23"/>
      <c r="I2" s="2"/>
      <c r="J2" s="3"/>
      <c r="K2" s="3"/>
      <c r="L2" s="3"/>
      <c r="M2" s="3"/>
      <c r="N2" s="3"/>
      <c r="O2" s="3"/>
      <c r="P2" s="3"/>
      <c r="Q2" s="3"/>
      <c r="R2" s="3"/>
      <c r="S2" s="3"/>
      <c r="T2" s="3"/>
      <c r="U2" s="3"/>
      <c r="V2" s="3"/>
      <c r="W2" s="3"/>
      <c r="X2" s="3"/>
      <c r="Y2" s="3"/>
      <c r="Z2" s="3"/>
    </row>
    <row r="3" ht="6.75" customHeight="1">
      <c r="A3" s="3"/>
      <c r="B3" s="3"/>
      <c r="C3" s="3"/>
      <c r="D3" s="3"/>
      <c r="E3" s="3"/>
      <c r="F3" s="3"/>
      <c r="G3" s="3"/>
      <c r="H3" s="3"/>
      <c r="I3" s="3"/>
      <c r="J3" s="3"/>
      <c r="K3" s="3"/>
      <c r="L3" s="3"/>
      <c r="M3" s="3"/>
      <c r="N3" s="3"/>
      <c r="O3" s="3"/>
      <c r="P3" s="3"/>
      <c r="Q3" s="3"/>
      <c r="R3" s="3"/>
      <c r="S3" s="3"/>
      <c r="T3" s="3"/>
      <c r="U3" s="3"/>
      <c r="V3" s="3"/>
      <c r="W3" s="3"/>
      <c r="X3" s="3"/>
      <c r="Y3" s="3"/>
      <c r="Z3" s="3"/>
    </row>
    <row r="4" ht="30.0" customHeight="1">
      <c r="A4" s="55" t="s">
        <v>448</v>
      </c>
      <c r="B4" s="56"/>
      <c r="C4" s="56"/>
      <c r="D4" s="11"/>
      <c r="E4" s="3"/>
      <c r="F4" s="55" t="s">
        <v>449</v>
      </c>
      <c r="G4" s="56"/>
      <c r="H4" s="56"/>
      <c r="I4" s="11"/>
      <c r="J4" s="3"/>
      <c r="K4" s="3"/>
      <c r="L4" s="3"/>
      <c r="M4" s="3"/>
      <c r="N4" s="3"/>
      <c r="O4" s="3"/>
      <c r="P4" s="3"/>
      <c r="Q4" s="3"/>
      <c r="R4" s="3"/>
      <c r="S4" s="3"/>
      <c r="T4" s="3"/>
      <c r="U4" s="3"/>
      <c r="V4" s="3"/>
      <c r="W4" s="3"/>
      <c r="X4" s="3"/>
      <c r="Y4" s="3"/>
      <c r="Z4" s="3"/>
    </row>
    <row r="5" ht="30.0" customHeight="1">
      <c r="A5" s="5" t="s">
        <v>450</v>
      </c>
      <c r="B5" s="57">
        <f>COUNTA('Test Cases'!A4:A200)</f>
        <v>52</v>
      </c>
      <c r="C5" s="56"/>
      <c r="D5" s="11"/>
      <c r="E5" s="3"/>
      <c r="F5" s="18" t="s">
        <v>61</v>
      </c>
      <c r="G5" s="58">
        <f>COUNTIF('Test Cases'!C4:C200,"Authentication")</f>
        <v>10</v>
      </c>
      <c r="H5" s="11"/>
      <c r="I5" s="59">
        <f>COUNTIFS('Test Cases'!C4:C200,"Authentication",'Test Cases'!L4:L200,"Pass")</f>
        <v>6</v>
      </c>
      <c r="J5" s="3"/>
      <c r="K5" s="3"/>
      <c r="L5" s="3"/>
      <c r="M5" s="3"/>
      <c r="N5" s="3"/>
      <c r="O5" s="3"/>
      <c r="P5" s="3"/>
      <c r="Q5" s="3"/>
      <c r="R5" s="3"/>
      <c r="S5" s="3"/>
      <c r="T5" s="3"/>
      <c r="U5" s="3"/>
      <c r="V5" s="3"/>
      <c r="W5" s="3"/>
      <c r="X5" s="3"/>
      <c r="Y5" s="3"/>
      <c r="Z5" s="3"/>
    </row>
    <row r="6" ht="30.0" customHeight="1">
      <c r="A6" s="60" t="s">
        <v>104</v>
      </c>
      <c r="B6" s="61">
        <f>COUNTIF('Test Cases'!L4:L200,"Not Executed")</f>
        <v>41</v>
      </c>
      <c r="C6" s="56"/>
      <c r="D6" s="11"/>
      <c r="E6" s="3"/>
      <c r="F6" s="5" t="s">
        <v>19</v>
      </c>
      <c r="G6" s="62">
        <f>COUNTIF('Test Cases'!C4:C200,"Dashboard")</f>
        <v>2</v>
      </c>
      <c r="H6" s="11"/>
      <c r="I6" s="63">
        <f>COUNTIFS('Test Cases'!C4:C200,"Dashboard",'Test Cases'!L4:L200,"Pass")</f>
        <v>1</v>
      </c>
      <c r="J6" s="3"/>
      <c r="K6" s="3"/>
      <c r="L6" s="3"/>
      <c r="M6" s="3"/>
      <c r="N6" s="3"/>
      <c r="O6" s="3"/>
      <c r="P6" s="3"/>
      <c r="Q6" s="3"/>
      <c r="R6" s="3"/>
      <c r="S6" s="3"/>
      <c r="T6" s="3"/>
      <c r="U6" s="3"/>
      <c r="V6" s="3"/>
      <c r="W6" s="3"/>
      <c r="X6" s="3"/>
      <c r="Y6" s="3"/>
      <c r="Z6" s="3"/>
    </row>
    <row r="7" ht="30.0" customHeight="1">
      <c r="A7" s="64" t="s">
        <v>451</v>
      </c>
      <c r="B7" s="65">
        <f>COUNTIF('Test Cases'!L4:L200,"In Progress")</f>
        <v>0</v>
      </c>
      <c r="C7" s="56"/>
      <c r="D7" s="11"/>
      <c r="E7" s="3"/>
      <c r="F7" s="18" t="s">
        <v>163</v>
      </c>
      <c r="G7" s="58">
        <f>COUNTIF('Test Cases'!C4:C200,"Posts")</f>
        <v>10</v>
      </c>
      <c r="H7" s="11"/>
      <c r="I7" s="59">
        <f>COUNTIFS('Test Cases'!C4:C200,"Posts",'Test Cases'!L4:L200,"Pass")</f>
        <v>1</v>
      </c>
      <c r="J7" s="3"/>
      <c r="K7" s="3"/>
      <c r="L7" s="3"/>
      <c r="M7" s="3"/>
      <c r="N7" s="3"/>
      <c r="O7" s="3"/>
      <c r="P7" s="3"/>
      <c r="Q7" s="3"/>
      <c r="R7" s="3"/>
      <c r="S7" s="3"/>
      <c r="T7" s="3"/>
      <c r="U7" s="3"/>
      <c r="V7" s="3"/>
      <c r="W7" s="3"/>
      <c r="X7" s="3"/>
      <c r="Y7" s="3"/>
      <c r="Z7" s="3"/>
    </row>
    <row r="8" ht="30.0" customHeight="1">
      <c r="A8" s="66" t="s">
        <v>452</v>
      </c>
      <c r="B8" s="67">
        <f>COUNTIF('Test Cases'!L4:L200,"Pass")</f>
        <v>11</v>
      </c>
      <c r="C8" s="56"/>
      <c r="D8" s="11"/>
      <c r="E8" s="3"/>
      <c r="F8" s="5" t="s">
        <v>233</v>
      </c>
      <c r="G8" s="62">
        <f>COUNTIF('Test Cases'!C4:C200,"Pages")</f>
        <v>4</v>
      </c>
      <c r="H8" s="11"/>
      <c r="I8" s="63">
        <f>COUNTIFS('Test Cases'!C4:C200,"Pages",'Test Cases'!L4:L200,"Pass")</f>
        <v>1</v>
      </c>
      <c r="J8" s="3"/>
      <c r="K8" s="3"/>
      <c r="L8" s="3"/>
      <c r="M8" s="3"/>
      <c r="N8" s="3"/>
      <c r="O8" s="3"/>
      <c r="P8" s="3"/>
      <c r="Q8" s="3"/>
      <c r="R8" s="3"/>
      <c r="S8" s="3"/>
      <c r="T8" s="3"/>
      <c r="U8" s="3"/>
      <c r="V8" s="3"/>
      <c r="W8" s="3"/>
      <c r="X8" s="3"/>
      <c r="Y8" s="3"/>
      <c r="Z8" s="3"/>
    </row>
    <row r="9" ht="30.0" customHeight="1">
      <c r="A9" s="68" t="s">
        <v>453</v>
      </c>
      <c r="B9" s="69">
        <f>COUNTIF('Test Cases'!L4:L200,"Fail")</f>
        <v>0</v>
      </c>
      <c r="C9" s="56"/>
      <c r="D9" s="11"/>
      <c r="E9" s="3"/>
      <c r="F9" s="18" t="s">
        <v>261</v>
      </c>
      <c r="G9" s="58">
        <f>COUNTIF('Test Cases'!C4:C200,"Tags")</f>
        <v>6</v>
      </c>
      <c r="H9" s="11"/>
      <c r="I9" s="59">
        <f>COUNTIFS('Test Cases'!C4:C200,"Tags",'Test Cases'!L4:L200,"Pass")</f>
        <v>1</v>
      </c>
      <c r="J9" s="3"/>
      <c r="K9" s="3"/>
      <c r="L9" s="3"/>
      <c r="M9" s="3"/>
      <c r="N9" s="3"/>
      <c r="O9" s="3"/>
      <c r="P9" s="3"/>
      <c r="Q9" s="3"/>
      <c r="R9" s="3"/>
      <c r="S9" s="3"/>
      <c r="T9" s="3"/>
      <c r="U9" s="3"/>
      <c r="V9" s="3"/>
      <c r="W9" s="3"/>
      <c r="X9" s="3"/>
      <c r="Y9" s="3"/>
      <c r="Z9" s="3"/>
    </row>
    <row r="10" ht="30.0" customHeight="1">
      <c r="A10" s="70" t="s">
        <v>454</v>
      </c>
      <c r="B10" s="71">
        <f>COUNTIF('Test Cases'!L4:L200,"Blocked")</f>
        <v>0</v>
      </c>
      <c r="C10" s="56"/>
      <c r="D10" s="11"/>
      <c r="E10" s="3"/>
      <c r="F10" s="5" t="s">
        <v>303</v>
      </c>
      <c r="G10" s="62">
        <f>COUNTIF('Test Cases'!C4:C200,"Members")</f>
        <v>8</v>
      </c>
      <c r="H10" s="11"/>
      <c r="I10" s="63">
        <f>COUNTIFS('Test Cases'!C4:C200,"Members",'Test Cases'!L4:L200,"Pass")</f>
        <v>0</v>
      </c>
      <c r="J10" s="3"/>
      <c r="K10" s="3"/>
      <c r="L10" s="3"/>
      <c r="M10" s="3"/>
      <c r="N10" s="3"/>
      <c r="O10" s="3"/>
      <c r="P10" s="3"/>
      <c r="Q10" s="3"/>
      <c r="R10" s="3"/>
      <c r="S10" s="3"/>
      <c r="T10" s="3"/>
      <c r="U10" s="3"/>
      <c r="V10" s="3"/>
      <c r="W10" s="3"/>
      <c r="X10" s="3"/>
      <c r="Y10" s="3"/>
      <c r="Z10" s="3"/>
    </row>
    <row r="11" ht="30.0" customHeight="1">
      <c r="A11" s="72" t="s">
        <v>455</v>
      </c>
      <c r="B11" s="61">
        <f>COUNTIF('Test Cases'!L4:L200,"Skipped")</f>
        <v>0</v>
      </c>
      <c r="C11" s="56"/>
      <c r="D11" s="11"/>
      <c r="E11" s="3"/>
      <c r="F11" s="18" t="s">
        <v>358</v>
      </c>
      <c r="G11" s="58">
        <f>COUNTIF('Test Cases'!C4:C200,"Settings")</f>
        <v>6</v>
      </c>
      <c r="H11" s="11"/>
      <c r="I11" s="59">
        <f>COUNTIFS('Test Cases'!C4:C200,"Settings",'Test Cases'!L4:L200,"Pass")</f>
        <v>0</v>
      </c>
      <c r="J11" s="3"/>
      <c r="K11" s="3"/>
      <c r="L11" s="3"/>
      <c r="M11" s="3"/>
      <c r="N11" s="3"/>
      <c r="O11" s="3"/>
      <c r="P11" s="3"/>
      <c r="Q11" s="3"/>
      <c r="R11" s="3"/>
      <c r="S11" s="3"/>
      <c r="T11" s="3"/>
      <c r="U11" s="3"/>
      <c r="V11" s="3"/>
      <c r="W11" s="3"/>
      <c r="X11" s="3"/>
      <c r="Y11" s="3"/>
      <c r="Z11" s="3"/>
    </row>
    <row r="12" ht="30.0" customHeight="1">
      <c r="A12" s="73" t="s">
        <v>456</v>
      </c>
      <c r="B12" s="74">
        <f>IFERROR(COUNTIF('Test Cases'!L4:L200,"Pass")/MAX(1,COUNTIF('Test Cases'!L4:L200,"Pass")+COUNTIF('Test Cases'!L4:L200,"Fail")),0)</f>
        <v>1</v>
      </c>
      <c r="C12" s="56"/>
      <c r="D12" s="11"/>
      <c r="E12" s="3"/>
      <c r="F12" s="5" t="s">
        <v>398</v>
      </c>
      <c r="G12" s="62">
        <f>COUNTIF('Test Cases'!C4:C200,"Staff/Users")</f>
        <v>6</v>
      </c>
      <c r="H12" s="11"/>
      <c r="I12" s="63">
        <f>COUNTIFS('Test Cases'!C4:C200,"Staff/Users",'Test Cases'!L4:L200,"Pass")</f>
        <v>1</v>
      </c>
      <c r="J12" s="3"/>
      <c r="K12" s="3"/>
      <c r="L12" s="3"/>
      <c r="M12" s="3"/>
      <c r="N12" s="3"/>
      <c r="O12" s="3"/>
      <c r="P12" s="3"/>
      <c r="Q12" s="3"/>
      <c r="R12" s="3"/>
      <c r="S12" s="3"/>
      <c r="T12" s="3"/>
      <c r="U12" s="3"/>
      <c r="V12" s="3"/>
      <c r="W12" s="3"/>
      <c r="X12" s="3"/>
      <c r="Y12" s="3"/>
      <c r="Z12" s="3"/>
    </row>
    <row r="13" ht="9.7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30.0" customHeight="1">
      <c r="A14" s="55" t="s">
        <v>457</v>
      </c>
      <c r="B14" s="56"/>
      <c r="C14" s="56"/>
      <c r="D14" s="11"/>
      <c r="E14" s="3"/>
      <c r="F14" s="55" t="s">
        <v>458</v>
      </c>
      <c r="G14" s="56"/>
      <c r="H14" s="56"/>
      <c r="I14" s="11"/>
      <c r="J14" s="3"/>
      <c r="K14" s="3"/>
      <c r="L14" s="3"/>
      <c r="M14" s="3"/>
      <c r="N14" s="3"/>
      <c r="O14" s="3"/>
      <c r="P14" s="3"/>
      <c r="Q14" s="3"/>
      <c r="R14" s="3"/>
      <c r="S14" s="3"/>
      <c r="T14" s="3"/>
      <c r="U14" s="3"/>
      <c r="V14" s="3"/>
      <c r="W14" s="3"/>
      <c r="X14" s="3"/>
      <c r="Y14" s="3"/>
      <c r="Z14" s="3"/>
    </row>
    <row r="15" ht="30.0" customHeight="1">
      <c r="A15" s="75" t="s">
        <v>459</v>
      </c>
      <c r="B15" s="69">
        <f>COUNTA('Bug Report'!A4:A200)</f>
        <v>0</v>
      </c>
      <c r="C15" s="56"/>
      <c r="D15" s="11"/>
      <c r="E15" s="3"/>
      <c r="F15" s="75" t="s">
        <v>460</v>
      </c>
      <c r="G15" s="76">
        <f>COUNTIF('Test Cases'!D4:D200,"Critical")</f>
        <v>6</v>
      </c>
      <c r="H15" s="76"/>
      <c r="I15" s="76"/>
      <c r="J15" s="3"/>
      <c r="K15" s="3"/>
      <c r="L15" s="3"/>
      <c r="M15" s="3"/>
      <c r="N15" s="3"/>
      <c r="O15" s="3"/>
      <c r="P15" s="3"/>
      <c r="Q15" s="3"/>
      <c r="R15" s="3"/>
      <c r="S15" s="3"/>
      <c r="T15" s="3"/>
      <c r="U15" s="3"/>
      <c r="V15" s="3"/>
      <c r="W15" s="3"/>
      <c r="X15" s="3"/>
      <c r="Y15" s="3"/>
      <c r="Z15" s="3"/>
    </row>
    <row r="16" ht="30.0" customHeight="1">
      <c r="A16" s="75" t="s">
        <v>62</v>
      </c>
      <c r="B16" s="69">
        <f>COUNTIF('Bug Report'!D4:D200,"Critical")</f>
        <v>0</v>
      </c>
      <c r="C16" s="56"/>
      <c r="D16" s="11"/>
      <c r="E16" s="3"/>
      <c r="F16" s="77" t="s">
        <v>461</v>
      </c>
      <c r="G16" s="78">
        <f>COUNTIF('Test Cases'!D4:D200,"High")</f>
        <v>27</v>
      </c>
      <c r="H16" s="78"/>
      <c r="I16" s="78"/>
      <c r="J16" s="3"/>
      <c r="K16" s="3"/>
      <c r="L16" s="3"/>
      <c r="M16" s="3"/>
      <c r="N16" s="3"/>
      <c r="O16" s="3"/>
      <c r="P16" s="3"/>
      <c r="Q16" s="3"/>
      <c r="R16" s="3"/>
      <c r="S16" s="3"/>
      <c r="T16" s="3"/>
      <c r="U16" s="3"/>
      <c r="V16" s="3"/>
      <c r="W16" s="3"/>
      <c r="X16" s="3"/>
      <c r="Y16" s="3"/>
      <c r="Z16" s="3"/>
    </row>
    <row r="17" ht="30.0" customHeight="1">
      <c r="A17" s="77" t="s">
        <v>84</v>
      </c>
      <c r="B17" s="79">
        <f>COUNTIF('Bug Report'!D4:D200,"High")</f>
        <v>0</v>
      </c>
      <c r="C17" s="56"/>
      <c r="D17" s="11"/>
      <c r="E17" s="3"/>
      <c r="F17" s="80" t="s">
        <v>462</v>
      </c>
      <c r="G17" s="81">
        <f>COUNTIF('Test Cases'!D4:D200,"Medium")</f>
        <v>19</v>
      </c>
      <c r="H17" s="81"/>
      <c r="I17" s="81"/>
      <c r="J17" s="3"/>
      <c r="K17" s="3"/>
      <c r="L17" s="3"/>
      <c r="M17" s="3"/>
      <c r="N17" s="3"/>
      <c r="O17" s="3"/>
      <c r="P17" s="3"/>
      <c r="Q17" s="3"/>
      <c r="R17" s="3"/>
      <c r="S17" s="3"/>
      <c r="T17" s="3"/>
      <c r="U17" s="3"/>
      <c r="V17" s="3"/>
      <c r="W17" s="3"/>
      <c r="X17" s="3"/>
      <c r="Y17" s="3"/>
      <c r="Z17" s="3"/>
    </row>
    <row r="18" ht="30.0" customHeight="1">
      <c r="A18" s="80" t="s">
        <v>93</v>
      </c>
      <c r="B18" s="71">
        <f>COUNTIF('Bug Report'!D4:D200,"Medium")</f>
        <v>0</v>
      </c>
      <c r="C18" s="56"/>
      <c r="D18" s="11"/>
      <c r="E18" s="3"/>
      <c r="F18" s="73" t="s">
        <v>463</v>
      </c>
      <c r="G18" s="82">
        <f>COUNTIF('Test Cases'!D4:D200,"Low")</f>
        <v>0</v>
      </c>
      <c r="H18" s="82"/>
      <c r="I18" s="82"/>
      <c r="J18" s="3"/>
      <c r="K18" s="3"/>
      <c r="L18" s="3"/>
      <c r="M18" s="3"/>
      <c r="N18" s="3"/>
      <c r="O18" s="3"/>
      <c r="P18" s="3"/>
      <c r="Q18" s="3"/>
      <c r="R18" s="3"/>
      <c r="S18" s="3"/>
      <c r="T18" s="3"/>
      <c r="U18" s="3"/>
      <c r="V18" s="3"/>
      <c r="W18" s="3"/>
      <c r="X18" s="3"/>
      <c r="Y18" s="3"/>
      <c r="Z18" s="3"/>
    </row>
    <row r="19" ht="30.0" customHeight="1">
      <c r="A19" s="73" t="s">
        <v>464</v>
      </c>
      <c r="B19" s="83">
        <f>COUNTIF('Bug Report'!D4:D200,"Low")</f>
        <v>0</v>
      </c>
      <c r="C19" s="56"/>
      <c r="D19" s="11"/>
      <c r="E19" s="3"/>
      <c r="F19" s="3"/>
      <c r="G19" s="3"/>
      <c r="H19" s="3"/>
      <c r="I19" s="3"/>
      <c r="J19" s="3"/>
      <c r="K19" s="3"/>
      <c r="L19" s="3"/>
      <c r="M19" s="3"/>
      <c r="N19" s="3"/>
      <c r="O19" s="3"/>
      <c r="P19" s="3"/>
      <c r="Q19" s="3"/>
      <c r="R19" s="3"/>
      <c r="S19" s="3"/>
      <c r="T19" s="3"/>
      <c r="U19" s="3"/>
      <c r="V19" s="3"/>
      <c r="W19" s="3"/>
      <c r="X19" s="3"/>
      <c r="Y19" s="3"/>
      <c r="Z19" s="3"/>
    </row>
    <row r="20" ht="30.0" customHeight="1">
      <c r="A20" s="75" t="s">
        <v>465</v>
      </c>
      <c r="B20" s="69">
        <f>COUNTIF('Bug Report'!K4:K200,"Open")</f>
        <v>0</v>
      </c>
      <c r="C20" s="56"/>
      <c r="D20" s="11"/>
      <c r="E20" s="3"/>
      <c r="F20" s="3"/>
      <c r="G20" s="3"/>
      <c r="H20" s="3"/>
      <c r="I20" s="3"/>
      <c r="J20" s="3"/>
      <c r="K20" s="3"/>
      <c r="L20" s="3"/>
      <c r="M20" s="3"/>
      <c r="N20" s="3"/>
      <c r="O20" s="3"/>
      <c r="P20" s="3"/>
      <c r="Q20" s="3"/>
      <c r="R20" s="3"/>
      <c r="S20" s="3"/>
      <c r="T20" s="3"/>
      <c r="U20" s="3"/>
      <c r="V20" s="3"/>
      <c r="W20" s="3"/>
      <c r="X20" s="3"/>
      <c r="Y20" s="3"/>
      <c r="Z20" s="3"/>
    </row>
    <row r="21" ht="30.0" customHeight="1">
      <c r="A21" s="84" t="s">
        <v>466</v>
      </c>
      <c r="B21" s="67">
        <f>COUNTIF('Bug Report'!K4:K200,"Fixed")</f>
        <v>0</v>
      </c>
      <c r="C21" s="56"/>
      <c r="D21" s="11"/>
      <c r="E21" s="3"/>
      <c r="F21" s="3"/>
      <c r="G21" s="3"/>
      <c r="H21" s="3"/>
      <c r="I21" s="3"/>
      <c r="J21" s="3"/>
      <c r="K21" s="3"/>
      <c r="L21" s="3"/>
      <c r="M21" s="3"/>
      <c r="N21" s="3"/>
      <c r="O21" s="3"/>
      <c r="P21" s="3"/>
      <c r="Q21" s="3"/>
      <c r="R21" s="3"/>
      <c r="S21" s="3"/>
      <c r="T21" s="3"/>
      <c r="U21" s="3"/>
      <c r="V21" s="3"/>
      <c r="W21" s="3"/>
      <c r="X21" s="3"/>
      <c r="Y21" s="3"/>
      <c r="Z21" s="3"/>
    </row>
    <row r="22" ht="30.0" customHeight="1">
      <c r="A22" s="73" t="s">
        <v>467</v>
      </c>
      <c r="B22" s="83">
        <f>COUNTIF('Bug Report'!K4:K200,"Closed")</f>
        <v>0</v>
      </c>
      <c r="C22" s="56"/>
      <c r="D22" s="11"/>
      <c r="E22" s="3"/>
      <c r="F22" s="3"/>
      <c r="G22" s="3"/>
      <c r="H22" s="3"/>
      <c r="I22" s="3"/>
      <c r="J22" s="3"/>
      <c r="K22" s="3"/>
      <c r="L22" s="3"/>
      <c r="M22" s="3"/>
      <c r="N22" s="3"/>
      <c r="O22" s="3"/>
      <c r="P22" s="3"/>
      <c r="Q22" s="3"/>
      <c r="R22" s="3"/>
      <c r="S22" s="3"/>
      <c r="T22" s="3"/>
      <c r="U22" s="3"/>
      <c r="V22" s="3"/>
      <c r="W22" s="3"/>
      <c r="X22" s="3"/>
      <c r="Y22" s="3"/>
      <c r="Z22" s="3"/>
    </row>
    <row r="23" ht="30.0"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30.0"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30.0"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30.0"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30.0"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30.0"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30.0"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30.0"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30.0"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30.0"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30.0"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30.0"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30.0"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30.0"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30.0"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30.0"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30.0"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30.0"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30.0"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30.0"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30.0"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30.0"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30.0"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30.0"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30.0"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30.0"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30.0"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30.0"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30.0"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30.0"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30.0"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30.0"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30.0"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30.0"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30.0"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30.0"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30.0"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30.0"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30.0"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30.0"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30.0"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30.0"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30.0"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30.0"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30.0"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30.0"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30.0"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30.0"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30.0"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30.0"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30.0"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30.0"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30.0"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30.0"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30.0"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30.0"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30.0"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30.0"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30.0"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30.0"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30.0"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30.0"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30.0"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30.0"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30.0"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30.0"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30.0"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30.0"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30.0"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30.0"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30.0"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30.0"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30.0"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30.0"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30.0"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30.0"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30.0"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30.0"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30.0"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30.0"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30.0"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30.0"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30.0"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30.0"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30.0"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30.0"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30.0"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30.0"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30.0"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30.0"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30.0"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30.0"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30.0"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30.0"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30.0"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30.0"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30.0"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30.0"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30.0"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30.0"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30.0"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30.0"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30.0"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30.0"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30.0"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30.0"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30.0"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30.0"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30.0"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30.0"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30.0"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30.0"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30.0"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30.0"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30.0"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30.0"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30.0"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30.0"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30.0"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30.0"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30.0"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30.0"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30.0"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30.0"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30.0"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30.0"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30.0"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30.0"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30.0"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30.0"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30.0"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30.0"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30.0"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30.0"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30.0"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30.0"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30.0"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30.0"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30.0"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30.0"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30.0"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30.0"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30.0"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30.0"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30.0"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30.0"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30.0"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30.0"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30.0"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30.0"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30.0"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30.0"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30.0"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30.0"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30.0"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30.0"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30.0"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30.0"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30.0"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30.0"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30.0"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30.0"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30.0"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30.0"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30.0"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30.0"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30.0"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30.0"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30.0"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30.0"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30.0"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30.0"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30.0"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30.0"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30.0"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30.0"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30.0"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30.0"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30.0"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30.0"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30.0"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30.0"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30.0"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30.0"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30.0"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30.0"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30.0"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30.0"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30.0"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30.0"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30.0"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30.0"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30.0"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30.0"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30.0"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30.0"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30.0"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30.0"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30.0"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30.0"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30.0"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30.0"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30.0"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30.0"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30.0"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30.0"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30.0"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30.0"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30.0"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30.0"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30.0"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30.0"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30.0"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30.0"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30.0"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30.0"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30.0"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30.0"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30.0"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30.0"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30.0"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30.0"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30.0"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30.0"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30.0"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30.0"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30.0"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30.0"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30.0"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30.0"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30.0"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30.0"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30.0"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30.0"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30.0"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30.0"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30.0"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30.0"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30.0"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30.0"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30.0"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30.0"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30.0"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30.0"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30.0"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30.0"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30.0"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30.0"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30.0"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30.0"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30.0"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30.0"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30.0"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30.0"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30.0"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30.0"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30.0"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30.0"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30.0"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30.0"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30.0"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30.0"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30.0"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30.0"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30.0"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30.0"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30.0"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30.0"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30.0"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30.0"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30.0"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30.0"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30.0"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30.0"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30.0"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30.0"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30.0"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30.0"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30.0"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30.0"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30.0"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30.0"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30.0"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30.0"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30.0"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30.0"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30.0"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30.0"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30.0"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30.0"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30.0"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30.0"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30.0"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30.0"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30.0"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30.0"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30.0"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30.0"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30.0"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30.0"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30.0"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30.0"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30.0"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30.0"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30.0"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30.0"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30.0"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30.0"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30.0"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30.0"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30.0"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30.0"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30.0"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30.0"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30.0"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30.0"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30.0"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30.0"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30.0"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30.0"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30.0"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30.0"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30.0"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30.0"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30.0"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30.0"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30.0"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30.0"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30.0"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30.0"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30.0"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30.0"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30.0"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30.0"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30.0"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30.0"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30.0"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30.0"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30.0"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30.0"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30.0"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30.0"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30.0"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30.0"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30.0"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30.0"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30.0"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30.0"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30.0"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30.0"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30.0"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30.0"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30.0"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30.0"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30.0"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30.0"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30.0"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30.0"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30.0"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30.0"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30.0"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30.0"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30.0"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30.0"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30.0"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30.0"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30.0"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30.0"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30.0"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30.0"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30.0"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30.0"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30.0"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30.0"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30.0"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30.0"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30.0"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30.0"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30.0"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30.0"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30.0"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30.0"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30.0"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30.0"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30.0"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30.0"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30.0"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30.0"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30.0"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30.0"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30.0"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30.0"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30.0"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30.0"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30.0"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30.0"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30.0"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30.0"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30.0"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30.0"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30.0"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30.0"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30.0"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30.0"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30.0"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30.0"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30.0"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30.0"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30.0"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30.0"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30.0"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30.0"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30.0"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30.0"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30.0"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30.0"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30.0"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30.0"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30.0"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30.0"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30.0"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30.0"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30.0"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30.0"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30.0"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30.0"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30.0"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30.0"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30.0"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30.0"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30.0"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30.0"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30.0"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30.0"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30.0"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30.0"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30.0"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30.0"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30.0"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30.0"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30.0"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30.0"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30.0"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30.0"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30.0"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30.0"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30.0"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30.0"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30.0"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30.0"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30.0"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30.0"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30.0"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30.0"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30.0"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30.0"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30.0"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30.0"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30.0"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30.0"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30.0"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30.0"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30.0"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30.0"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30.0"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30.0"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30.0"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30.0"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30.0"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30.0"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30.0"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30.0"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30.0"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30.0"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30.0"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30.0"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30.0"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30.0"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30.0"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30.0"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30.0"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30.0"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30.0"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30.0"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30.0"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30.0"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30.0"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30.0"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30.0"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30.0"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30.0"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30.0"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30.0"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30.0"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30.0"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30.0"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30.0"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30.0"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30.0"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30.0"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30.0"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30.0"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30.0"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30.0"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30.0"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30.0"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30.0"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30.0"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30.0"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30.0"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30.0"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30.0"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30.0"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30.0"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30.0"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30.0"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30.0"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30.0"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30.0"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30.0"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30.0"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30.0"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30.0"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30.0"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30.0"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30.0"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30.0"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30.0"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30.0"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30.0"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30.0"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30.0"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30.0"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30.0"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30.0"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30.0"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30.0"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30.0"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30.0"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30.0"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30.0"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30.0"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30.0"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30.0"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30.0"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30.0"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30.0"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30.0"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30.0"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30.0"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30.0"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30.0"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30.0"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30.0"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30.0"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30.0"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30.0"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30.0"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30.0"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30.0"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30.0"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30.0"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30.0"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30.0"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30.0"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30.0"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30.0"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30.0"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30.0"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30.0"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30.0"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30.0"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30.0"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30.0"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30.0"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30.0"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30.0"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30.0"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30.0"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30.0"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30.0"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30.0"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30.0"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30.0"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30.0"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30.0"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30.0"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30.0"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30.0"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30.0"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30.0"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30.0"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30.0"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30.0"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30.0"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30.0"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30.0"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30.0"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30.0"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30.0"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30.0"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30.0"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30.0"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30.0"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30.0"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30.0"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30.0"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30.0"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30.0"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30.0"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30.0"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30.0"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30.0"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30.0"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30.0"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30.0"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30.0"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30.0"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30.0"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30.0"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30.0"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30.0"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30.0"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30.0"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30.0"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30.0"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30.0"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30.0"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30.0"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30.0"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30.0"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30.0"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30.0"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30.0"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30.0"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30.0"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30.0"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30.0"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30.0"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30.0"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30.0"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30.0"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30.0"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30.0"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30.0"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30.0"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30.0"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30.0"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30.0"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30.0"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30.0"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30.0"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30.0"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30.0"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30.0"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30.0"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30.0"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30.0"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30.0"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30.0"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30.0"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30.0"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30.0"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30.0"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30.0"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30.0"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30.0"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30.0"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30.0"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30.0"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30.0"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30.0"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30.0"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30.0"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30.0"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30.0"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30.0"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30.0"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30.0"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30.0"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30.0"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30.0"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30.0"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30.0"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30.0"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30.0"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30.0"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30.0"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30.0"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30.0"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30.0"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30.0"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30.0"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30.0"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30.0"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30.0"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30.0"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30.0"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30.0"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30.0"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30.0"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30.0"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30.0"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30.0"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30.0"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30.0"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30.0"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30.0"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30.0"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30.0"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30.0"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30.0"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30.0"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30.0"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30.0"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30.0"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30.0"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30.0"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30.0"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30.0"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30.0"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30.0"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30.0"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30.0"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30.0"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30.0"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30.0"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30.0"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30.0"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30.0"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30.0"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30.0"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30.0"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30.0"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30.0"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30.0"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30.0"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30.0"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30.0"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30.0"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30.0"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30.0"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30.0"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30.0"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30.0"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30.0"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30.0"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30.0"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30.0"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30.0"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30.0"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30.0"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30.0"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30.0"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30.0"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30.0"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30.0"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30.0"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30.0"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30.0"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30.0"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30.0"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30.0"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30.0"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30.0"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30.0"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30.0"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30.0"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30.0"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30.0"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30.0"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30.0"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30.0"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30.0"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30.0"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30.0"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30.0"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30.0"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30.0"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30.0"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30.0"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30.0"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30.0"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30.0"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30.0"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30.0"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30.0"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30.0"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30.0"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30.0"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30.0"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30.0"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30.0"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30.0"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30.0"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30.0"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30.0"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30.0"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30.0"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30.0"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30.0"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30.0"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30.0"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30.0"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30.0"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30.0"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30.0"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30.0"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30.0"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30.0"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30.0"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30.0"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30.0"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30.0"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30.0"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30.0"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30.0"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30.0"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30.0"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30.0"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30.0"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30.0"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30.0"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30.0"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30.0"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30.0"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30.0"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30.0"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30.0"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30.0"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30.0"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30.0"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30.0"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30.0"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30.0"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30.0"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30.0"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30.0"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30.0"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30.0"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30.0"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30.0"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30.0"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30.0"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30.0"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30.0"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30.0"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30.0"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30.0"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30.0"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30.0"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30.0"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30.0"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30.0"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30.0"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30.0"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30.0"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30.0"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30.0"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30.0"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30.0"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30.0"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30.0"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30.0"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30.0"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30.0"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30.0"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30.0"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30.0"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30.0"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30.0"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30.0"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30.0"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30.0"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30.0"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30.0"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30.0"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30.0"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30.0"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30.0"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30.0"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30.0"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30.0"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30.0"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30.0"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30.0"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30.0"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30.0"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30.0"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30.0"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30.0"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30.0"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30.0"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30.0"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30.0"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30.0"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30.0"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30.0"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30.0"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30.0"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30.0"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30.0"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30.0"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30.0"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30.0"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30.0"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30.0"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30.0"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30.0"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30.0"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30.0"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30.0"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30.0"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30.0"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30.0"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30.0"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30.0"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30.0"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30.0"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30.0"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30.0"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30.0"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30.0"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30.0"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30.0"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30.0"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30.0"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30.0"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30.0"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30.0"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30.0"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30.0"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30.0"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30.0"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30.0"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30.0"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30.0"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30.0"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30.0"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30.0"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30.0"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30.0"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30.0"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30.0"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30.0"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30.0"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30.0"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30.0"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30.0"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30.0"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30.0"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30.0"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30.0"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30.0"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30.0"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30.0"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30.0"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30.0"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30.0"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30.0"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30.0"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30.0"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30.0"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30.0"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30.0"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30.0"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30.0"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30.0"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30.0"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30.0"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30.0"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30.0"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30.0"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30.0"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30.0"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30.0"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30.0"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30.0"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0">
    <mergeCell ref="A1:I1"/>
    <mergeCell ref="A2:I2"/>
    <mergeCell ref="A4:D4"/>
    <mergeCell ref="F4:I4"/>
    <mergeCell ref="B5:D5"/>
    <mergeCell ref="G5:H5"/>
    <mergeCell ref="G6:H6"/>
    <mergeCell ref="G9:H9"/>
    <mergeCell ref="G10:H10"/>
    <mergeCell ref="B6:D6"/>
    <mergeCell ref="B7:D7"/>
    <mergeCell ref="G7:H7"/>
    <mergeCell ref="B8:D8"/>
    <mergeCell ref="G8:H8"/>
    <mergeCell ref="B9:D9"/>
    <mergeCell ref="B10:D10"/>
    <mergeCell ref="B16:D16"/>
    <mergeCell ref="B17:D17"/>
    <mergeCell ref="B18:D18"/>
    <mergeCell ref="B19:D19"/>
    <mergeCell ref="B20:D20"/>
    <mergeCell ref="B21:D21"/>
    <mergeCell ref="B22:D22"/>
    <mergeCell ref="B11:D11"/>
    <mergeCell ref="G11:H11"/>
    <mergeCell ref="B12:D12"/>
    <mergeCell ref="G12:H12"/>
    <mergeCell ref="A14:D14"/>
    <mergeCell ref="F14:I14"/>
    <mergeCell ref="B15:D15"/>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7" width="20.71"/>
    <col customWidth="1" min="8" max="26" width="8.86"/>
  </cols>
  <sheetData>
    <row r="1" ht="49.5" customHeight="1">
      <c r="A1" s="22" t="s">
        <v>468</v>
      </c>
      <c r="B1" s="23"/>
      <c r="C1" s="23"/>
      <c r="D1" s="23"/>
      <c r="E1" s="23"/>
      <c r="F1" s="23"/>
      <c r="G1" s="2"/>
      <c r="H1" s="3"/>
      <c r="I1" s="3"/>
      <c r="J1" s="3"/>
      <c r="K1" s="3"/>
      <c r="L1" s="3"/>
      <c r="M1" s="3"/>
      <c r="N1" s="3"/>
      <c r="O1" s="3"/>
      <c r="P1" s="3"/>
      <c r="Q1" s="3"/>
      <c r="R1" s="3"/>
      <c r="S1" s="3"/>
      <c r="T1" s="3"/>
      <c r="U1" s="3"/>
      <c r="V1" s="3"/>
      <c r="W1" s="3"/>
      <c r="X1" s="3"/>
      <c r="Y1" s="3"/>
      <c r="Z1" s="3"/>
    </row>
    <row r="2" ht="30.0" customHeight="1">
      <c r="A2" s="85" t="s">
        <v>469</v>
      </c>
      <c r="B2" s="85" t="s">
        <v>470</v>
      </c>
      <c r="C2" s="85" t="s">
        <v>471</v>
      </c>
      <c r="D2" s="85" t="s">
        <v>472</v>
      </c>
      <c r="E2" s="85" t="s">
        <v>473</v>
      </c>
      <c r="F2" s="85" t="s">
        <v>474</v>
      </c>
      <c r="G2" s="85" t="s">
        <v>475</v>
      </c>
      <c r="H2" s="3"/>
      <c r="I2" s="3"/>
      <c r="J2" s="3"/>
      <c r="K2" s="3"/>
      <c r="L2" s="3"/>
      <c r="M2" s="3"/>
      <c r="N2" s="3"/>
      <c r="O2" s="3"/>
      <c r="P2" s="3"/>
      <c r="Q2" s="3"/>
      <c r="R2" s="3"/>
      <c r="S2" s="3"/>
      <c r="T2" s="3"/>
      <c r="U2" s="3"/>
      <c r="V2" s="3"/>
      <c r="W2" s="3"/>
      <c r="X2" s="3"/>
      <c r="Y2" s="3"/>
      <c r="Z2" s="3"/>
    </row>
    <row r="3" ht="30.0" customHeight="1">
      <c r="A3" s="86" t="s">
        <v>62</v>
      </c>
      <c r="B3" s="86" t="s">
        <v>62</v>
      </c>
      <c r="C3" s="87" t="s">
        <v>104</v>
      </c>
      <c r="D3" s="86" t="s">
        <v>465</v>
      </c>
      <c r="E3" s="88" t="s">
        <v>75</v>
      </c>
      <c r="F3" s="86" t="s">
        <v>476</v>
      </c>
      <c r="G3" s="88" t="s">
        <v>71</v>
      </c>
      <c r="H3" s="3"/>
      <c r="I3" s="3"/>
      <c r="J3" s="3"/>
      <c r="K3" s="3"/>
      <c r="L3" s="3"/>
      <c r="M3" s="3"/>
      <c r="N3" s="3"/>
      <c r="O3" s="3"/>
      <c r="P3" s="3"/>
      <c r="Q3" s="3"/>
      <c r="R3" s="3"/>
      <c r="S3" s="3"/>
      <c r="T3" s="3"/>
      <c r="U3" s="3"/>
      <c r="V3" s="3"/>
      <c r="W3" s="3"/>
      <c r="X3" s="3"/>
      <c r="Y3" s="3"/>
      <c r="Z3" s="3"/>
    </row>
    <row r="4" ht="30.0" customHeight="1">
      <c r="A4" s="89" t="s">
        <v>84</v>
      </c>
      <c r="B4" s="89" t="s">
        <v>84</v>
      </c>
      <c r="C4" s="90" t="s">
        <v>451</v>
      </c>
      <c r="D4" s="90" t="s">
        <v>451</v>
      </c>
      <c r="E4" s="86" t="s">
        <v>85</v>
      </c>
      <c r="F4" s="89" t="s">
        <v>477</v>
      </c>
      <c r="G4" s="86" t="s">
        <v>112</v>
      </c>
      <c r="H4" s="3"/>
      <c r="I4" s="3"/>
      <c r="J4" s="3"/>
      <c r="K4" s="3"/>
      <c r="L4" s="3"/>
      <c r="M4" s="3"/>
      <c r="N4" s="3"/>
      <c r="O4" s="3"/>
      <c r="P4" s="3"/>
      <c r="Q4" s="3"/>
      <c r="R4" s="3"/>
      <c r="S4" s="3"/>
      <c r="T4" s="3"/>
      <c r="U4" s="3"/>
      <c r="V4" s="3"/>
      <c r="W4" s="3"/>
      <c r="X4" s="3"/>
      <c r="Y4" s="3"/>
      <c r="Z4" s="3"/>
    </row>
    <row r="5" ht="30.0" customHeight="1">
      <c r="A5" s="91" t="s">
        <v>93</v>
      </c>
      <c r="B5" s="91" t="s">
        <v>93</v>
      </c>
      <c r="C5" s="88" t="s">
        <v>68</v>
      </c>
      <c r="D5" s="88" t="s">
        <v>466</v>
      </c>
      <c r="E5" s="91" t="s">
        <v>123</v>
      </c>
      <c r="F5" s="91" t="s">
        <v>478</v>
      </c>
      <c r="G5" s="91" t="s">
        <v>479</v>
      </c>
      <c r="H5" s="3"/>
      <c r="I5" s="3"/>
      <c r="J5" s="3"/>
      <c r="K5" s="3"/>
      <c r="L5" s="3"/>
      <c r="M5" s="3"/>
      <c r="N5" s="3"/>
      <c r="O5" s="3"/>
      <c r="P5" s="3"/>
      <c r="Q5" s="3"/>
      <c r="R5" s="3"/>
      <c r="S5" s="3"/>
      <c r="T5" s="3"/>
      <c r="U5" s="3"/>
      <c r="V5" s="3"/>
      <c r="W5" s="3"/>
      <c r="X5" s="3"/>
      <c r="Y5" s="3"/>
      <c r="Z5" s="3"/>
    </row>
    <row r="6" ht="30.0" customHeight="1">
      <c r="A6" s="92" t="s">
        <v>464</v>
      </c>
      <c r="B6" s="92" t="s">
        <v>464</v>
      </c>
      <c r="C6" s="86" t="s">
        <v>480</v>
      </c>
      <c r="D6" s="86" t="s">
        <v>481</v>
      </c>
      <c r="E6" s="89" t="s">
        <v>482</v>
      </c>
      <c r="F6" s="92" t="s">
        <v>483</v>
      </c>
      <c r="G6" s="3"/>
      <c r="H6" s="3"/>
      <c r="I6" s="3"/>
      <c r="J6" s="3"/>
      <c r="K6" s="3"/>
      <c r="L6" s="3"/>
      <c r="M6" s="3"/>
      <c r="N6" s="3"/>
      <c r="O6" s="3"/>
      <c r="P6" s="3"/>
      <c r="Q6" s="3"/>
      <c r="R6" s="3"/>
      <c r="S6" s="3"/>
      <c r="T6" s="3"/>
      <c r="U6" s="3"/>
      <c r="V6" s="3"/>
      <c r="W6" s="3"/>
      <c r="X6" s="3"/>
      <c r="Y6" s="3"/>
      <c r="Z6" s="3"/>
    </row>
    <row r="7" ht="30.0" customHeight="1">
      <c r="A7" s="3"/>
      <c r="B7" s="3"/>
      <c r="C7" s="91" t="s">
        <v>484</v>
      </c>
      <c r="D7" s="92" t="s">
        <v>467</v>
      </c>
      <c r="E7" s="90" t="s">
        <v>154</v>
      </c>
      <c r="F7" s="3"/>
      <c r="G7" s="3"/>
      <c r="H7" s="3"/>
      <c r="I7" s="3"/>
      <c r="J7" s="3"/>
      <c r="K7" s="3"/>
      <c r="L7" s="3"/>
      <c r="M7" s="3"/>
      <c r="N7" s="3"/>
      <c r="O7" s="3"/>
      <c r="P7" s="3"/>
      <c r="Q7" s="3"/>
      <c r="R7" s="3"/>
      <c r="S7" s="3"/>
      <c r="T7" s="3"/>
      <c r="U7" s="3"/>
      <c r="V7" s="3"/>
      <c r="W7" s="3"/>
      <c r="X7" s="3"/>
      <c r="Y7" s="3"/>
      <c r="Z7" s="3"/>
    </row>
    <row r="8" ht="30.0" customHeight="1">
      <c r="A8" s="3"/>
      <c r="B8" s="3"/>
      <c r="C8" s="93" t="s">
        <v>485</v>
      </c>
      <c r="D8" s="93" t="s">
        <v>486</v>
      </c>
      <c r="E8" s="92" t="s">
        <v>138</v>
      </c>
      <c r="F8" s="3"/>
      <c r="G8" s="3"/>
      <c r="H8" s="3"/>
      <c r="I8" s="3"/>
      <c r="J8" s="3"/>
      <c r="K8" s="3"/>
      <c r="L8" s="3"/>
      <c r="M8" s="3"/>
      <c r="N8" s="3"/>
      <c r="O8" s="3"/>
      <c r="P8" s="3"/>
      <c r="Q8" s="3"/>
      <c r="R8" s="3"/>
      <c r="S8" s="3"/>
      <c r="T8" s="3"/>
      <c r="U8" s="3"/>
      <c r="V8" s="3"/>
      <c r="W8" s="3"/>
      <c r="X8" s="3"/>
      <c r="Y8" s="3"/>
      <c r="Z8" s="3"/>
    </row>
    <row r="9" ht="30.0" customHeight="1">
      <c r="A9" s="3"/>
      <c r="B9" s="3"/>
      <c r="C9" s="90" t="s">
        <v>133</v>
      </c>
      <c r="D9" s="91" t="s">
        <v>487</v>
      </c>
      <c r="E9" s="94" t="s">
        <v>488</v>
      </c>
      <c r="F9" s="3"/>
      <c r="G9" s="3"/>
      <c r="H9" s="3"/>
      <c r="I9" s="3"/>
      <c r="J9" s="3"/>
      <c r="K9" s="3"/>
      <c r="L9" s="3"/>
      <c r="M9" s="3"/>
      <c r="N9" s="3"/>
      <c r="O9" s="3"/>
      <c r="P9" s="3"/>
      <c r="Q9" s="3"/>
      <c r="R9" s="3"/>
      <c r="S9" s="3"/>
      <c r="T9" s="3"/>
      <c r="U9" s="3"/>
      <c r="V9" s="3"/>
      <c r="W9" s="3"/>
      <c r="X9" s="3"/>
      <c r="Y9" s="3"/>
      <c r="Z9" s="3"/>
    </row>
    <row r="10" ht="30.0" customHeight="1">
      <c r="A10" s="3"/>
      <c r="B10" s="3"/>
      <c r="C10" s="3"/>
      <c r="D10" s="3"/>
      <c r="E10" s="93" t="s">
        <v>489</v>
      </c>
      <c r="F10" s="3"/>
      <c r="G10" s="3"/>
      <c r="H10" s="3"/>
      <c r="I10" s="3"/>
      <c r="J10" s="3"/>
      <c r="K10" s="3"/>
      <c r="L10" s="3"/>
      <c r="M10" s="3"/>
      <c r="N10" s="3"/>
      <c r="O10" s="3"/>
      <c r="P10" s="3"/>
      <c r="Q10" s="3"/>
      <c r="R10" s="3"/>
      <c r="S10" s="3"/>
      <c r="T10" s="3"/>
      <c r="U10" s="3"/>
      <c r="V10" s="3"/>
      <c r="W10" s="3"/>
      <c r="X10" s="3"/>
      <c r="Y10" s="3"/>
      <c r="Z10" s="3"/>
    </row>
    <row r="11" ht="30.0" customHeight="1">
      <c r="A11" s="3"/>
      <c r="B11" s="3"/>
      <c r="C11" s="3"/>
      <c r="D11" s="3"/>
      <c r="E11" s="95" t="s">
        <v>490</v>
      </c>
      <c r="F11" s="3"/>
      <c r="G11" s="3"/>
      <c r="H11" s="3"/>
      <c r="I11" s="3"/>
      <c r="J11" s="3"/>
      <c r="K11" s="3"/>
      <c r="L11" s="3"/>
      <c r="M11" s="3"/>
      <c r="N11" s="3"/>
      <c r="O11" s="3"/>
      <c r="P11" s="3"/>
      <c r="Q11" s="3"/>
      <c r="R11" s="3"/>
      <c r="S11" s="3"/>
      <c r="T11" s="3"/>
      <c r="U11" s="3"/>
      <c r="V11" s="3"/>
      <c r="W11" s="3"/>
      <c r="X11" s="3"/>
      <c r="Y11" s="3"/>
      <c r="Z11" s="3"/>
    </row>
    <row r="12" ht="30.0"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30.0"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30.0"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30.0"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30.0"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30.0"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30.0"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30.0"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30.0"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30.0"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30.0"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30.0"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30.0"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30.0"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30.0"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30.0"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30.0"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30.0"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30.0"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30.0"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30.0"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30.0"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30.0"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30.0"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30.0"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30.0"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30.0"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30.0"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30.0"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30.0"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30.0"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30.0"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30.0"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30.0"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30.0"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30.0"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30.0"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30.0"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30.0"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30.0"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30.0"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30.0"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30.0"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30.0"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30.0"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30.0"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30.0"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30.0"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30.0"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30.0"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30.0"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30.0"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30.0"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30.0"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30.0"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30.0"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30.0"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30.0"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30.0"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30.0"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30.0"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30.0"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30.0"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30.0"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30.0"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30.0"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30.0"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30.0"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30.0"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30.0"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30.0"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30.0"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30.0"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30.0"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30.0"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30.0"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30.0"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30.0"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30.0"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30.0"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30.0"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30.0"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30.0"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30.0"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30.0"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30.0"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30.0"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30.0"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30.0"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30.0"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30.0"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30.0"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30.0"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30.0"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30.0"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30.0"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30.0"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30.0"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30.0"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30.0"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30.0"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30.0"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30.0"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30.0"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30.0"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30.0"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30.0"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30.0"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30.0"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30.0"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30.0"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30.0"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30.0"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30.0"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30.0"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30.0"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30.0"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30.0"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30.0"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30.0"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30.0"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30.0"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30.0"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30.0"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30.0"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30.0"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30.0"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30.0"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30.0"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30.0"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30.0"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30.0"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30.0"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30.0"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30.0"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30.0"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30.0"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30.0"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30.0"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30.0"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30.0"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30.0"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30.0"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30.0"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30.0"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30.0"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30.0"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30.0"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30.0"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30.0"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30.0"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30.0"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30.0"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30.0"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30.0"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30.0"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30.0"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30.0"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30.0"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30.0"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30.0"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30.0"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30.0"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30.0"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30.0"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30.0"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30.0"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30.0"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30.0"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30.0"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30.0"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30.0"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30.0"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30.0"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30.0"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30.0"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30.0"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30.0"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30.0"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30.0"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30.0"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30.0"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30.0"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30.0"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30.0"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30.0"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30.0"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30.0"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30.0"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30.0"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30.0"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30.0"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30.0"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30.0"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30.0"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30.0"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30.0"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30.0"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30.0"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30.0"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30.0"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30.0"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30.0"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30.0"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30.0"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30.0"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30.0"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30.0"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30.0"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30.0"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30.0"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30.0"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30.0"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30.0"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30.0"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30.0"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30.0"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30.0"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30.0"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30.0"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30.0"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30.0"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30.0"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30.0"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30.0"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30.0"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30.0"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30.0"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30.0"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30.0"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30.0"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30.0"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30.0"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30.0"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30.0"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30.0"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30.0"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30.0"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30.0"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30.0"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30.0"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30.0"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30.0"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30.0"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30.0"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30.0"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30.0"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30.0"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30.0"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30.0"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30.0"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30.0"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30.0"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30.0"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30.0"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30.0"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30.0"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30.0"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30.0"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30.0"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30.0"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30.0"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30.0"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30.0"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30.0"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30.0"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30.0"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30.0"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30.0"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30.0"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30.0"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30.0"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30.0"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30.0"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30.0"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30.0"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30.0"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30.0"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30.0"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30.0"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30.0"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30.0"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30.0"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30.0"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30.0"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30.0"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30.0"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30.0"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30.0"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30.0"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30.0"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30.0"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30.0"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30.0"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30.0"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30.0"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30.0"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30.0"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30.0"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30.0"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30.0"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30.0"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30.0"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30.0"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30.0"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30.0"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30.0"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30.0"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30.0"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30.0"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30.0"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30.0"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30.0"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30.0"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30.0"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30.0"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30.0"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30.0"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30.0"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30.0"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30.0"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30.0"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30.0"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30.0"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30.0"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30.0"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30.0"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30.0"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30.0"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30.0"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30.0"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30.0"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30.0"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30.0"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30.0"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30.0"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30.0"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30.0"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30.0"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30.0"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30.0"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30.0"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30.0"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30.0"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30.0"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30.0"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30.0"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30.0"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30.0"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30.0"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30.0"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30.0"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30.0"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30.0"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30.0"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30.0"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30.0"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30.0"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30.0"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30.0"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30.0"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30.0"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30.0"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30.0"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30.0"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30.0"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30.0"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30.0"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30.0"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30.0"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30.0"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30.0"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30.0"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30.0"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30.0"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30.0"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30.0"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30.0"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30.0"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30.0"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30.0"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30.0"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30.0"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30.0"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30.0"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30.0"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30.0"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30.0"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30.0"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30.0"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30.0"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30.0"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30.0"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30.0"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30.0"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30.0"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30.0"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30.0"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30.0"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30.0"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30.0"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30.0"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30.0"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30.0"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30.0"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30.0"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30.0"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30.0"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30.0"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30.0"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30.0"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30.0"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30.0"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30.0"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30.0"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30.0"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30.0"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30.0"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30.0"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30.0"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30.0"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30.0"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30.0"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30.0"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30.0"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30.0"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30.0"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30.0"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30.0"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30.0"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30.0"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30.0"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30.0"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30.0"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30.0"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30.0"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30.0"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30.0"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30.0"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30.0"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30.0"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30.0"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30.0"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30.0"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30.0"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30.0"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30.0"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30.0"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30.0"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30.0"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30.0"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30.0"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30.0"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30.0"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30.0"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30.0"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30.0"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30.0"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30.0"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30.0"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30.0"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30.0"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30.0"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30.0"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30.0"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30.0"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30.0"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30.0"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30.0"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30.0"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30.0"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30.0"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30.0"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30.0"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30.0"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30.0"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30.0"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30.0"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30.0"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30.0"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30.0"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30.0"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30.0"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30.0"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30.0"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30.0"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30.0"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30.0"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30.0"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30.0"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30.0"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30.0"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30.0"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30.0"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30.0"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30.0"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30.0"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30.0"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30.0"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30.0"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30.0"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30.0"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30.0"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30.0"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30.0"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30.0"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30.0"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30.0"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30.0"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30.0"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30.0"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30.0"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30.0"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30.0"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30.0"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30.0"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30.0"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30.0"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30.0"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30.0"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30.0"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30.0"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30.0"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30.0"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30.0"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30.0"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30.0"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30.0"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30.0"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30.0"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30.0"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30.0"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30.0"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30.0"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30.0"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30.0"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30.0"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30.0"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30.0"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30.0"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30.0"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30.0"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30.0"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30.0"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30.0"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30.0"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30.0"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30.0"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30.0"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30.0"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30.0"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30.0"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30.0"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30.0"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30.0"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30.0"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30.0"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30.0"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30.0"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30.0"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30.0"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30.0"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30.0"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30.0"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30.0"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30.0"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30.0"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30.0"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30.0"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30.0"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30.0"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30.0"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30.0"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30.0"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30.0"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30.0"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30.0"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30.0"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30.0"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30.0"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30.0"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30.0"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30.0"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30.0"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30.0"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30.0"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30.0"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30.0"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30.0"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30.0"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30.0"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30.0"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30.0"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30.0"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30.0"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30.0"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30.0"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30.0"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30.0"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30.0"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30.0"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30.0"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30.0"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30.0"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30.0"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30.0"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30.0"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30.0"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30.0"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30.0"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30.0"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30.0"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30.0"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30.0"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30.0"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30.0"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30.0"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30.0"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30.0"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30.0"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30.0"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30.0"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30.0"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30.0"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30.0"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30.0"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30.0"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30.0"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30.0"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30.0"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30.0"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30.0"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30.0"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30.0"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30.0"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30.0"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30.0"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30.0"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30.0"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30.0"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30.0"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30.0"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30.0"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30.0"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30.0"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30.0"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30.0"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30.0"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30.0"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30.0"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30.0"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30.0"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30.0"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30.0"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30.0"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30.0"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30.0"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30.0"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30.0"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30.0"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30.0"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30.0"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30.0"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30.0"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30.0"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30.0"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30.0"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30.0"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30.0"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30.0"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30.0"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30.0"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30.0"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30.0"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30.0"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30.0"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30.0"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30.0"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30.0"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30.0"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30.0"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30.0"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30.0"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30.0"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30.0"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30.0"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30.0"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30.0"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30.0"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30.0"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30.0"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30.0"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30.0"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30.0"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30.0"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30.0"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30.0"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30.0"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30.0"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30.0"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30.0"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30.0"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30.0"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30.0"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30.0"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30.0"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30.0"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30.0"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30.0"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30.0"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30.0"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30.0"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30.0"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30.0"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30.0"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30.0"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30.0"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30.0"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30.0"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30.0"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30.0"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30.0"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30.0"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30.0"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30.0"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30.0"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30.0"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30.0"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30.0"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30.0"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30.0"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30.0"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30.0"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30.0"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30.0"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30.0"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30.0"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30.0"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30.0"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30.0"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30.0"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30.0"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30.0"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30.0"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30.0"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30.0"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30.0"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30.0"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30.0"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30.0"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30.0"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30.0"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30.0"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30.0"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30.0"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30.0"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30.0"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30.0"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30.0"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30.0"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30.0"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30.0"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30.0"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30.0"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30.0"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30.0"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30.0"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30.0"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30.0"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30.0"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30.0"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30.0"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30.0"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30.0"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30.0"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30.0"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30.0"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30.0"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30.0"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30.0"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30.0"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30.0"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30.0"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30.0"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30.0"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30.0"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30.0"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30.0"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30.0"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30.0"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30.0"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30.0"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30.0"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30.0"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30.0"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30.0"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30.0"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30.0"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30.0"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30.0"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30.0"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30.0"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30.0"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30.0"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30.0"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30.0"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30.0"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30.0"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30.0"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30.0"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30.0"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30.0"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30.0"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30.0"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30.0"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30.0"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30.0"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30.0"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30.0"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30.0"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30.0"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30.0"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30.0"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30.0"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30.0"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30.0"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30.0"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30.0"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30.0"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30.0"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30.0"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30.0"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30.0"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30.0"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30.0"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30.0"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30.0"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30.0"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30.0"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30.0"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30.0"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30.0"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30.0"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30.0"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30.0"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30.0"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30.0"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30.0"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30.0"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30.0"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30.0"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30.0"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30.0"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30.0"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30.0"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30.0"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30.0"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30.0"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30.0"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30.0"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30.0"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30.0"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30.0"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30.0"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30.0"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30.0"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30.0"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30.0"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30.0"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30.0"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30.0"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30.0"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30.0"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30.0"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30.0"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30.0"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30.0"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30.0"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30.0"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30.0"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30.0"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30.0"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30.0"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30.0"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30.0"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30.0"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30.0"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30.0"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30.0"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30.0"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30.0"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30.0"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30.0"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30.0"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30.0"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30.0"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30.0"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30.0"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30.0"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30.0"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30.0"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30.0"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30.0"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30.0"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30.0"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30.0"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30.0"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30.0"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30.0"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30.0"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30.0"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30.0"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30.0"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30.0"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30.0"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30.0"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30.0"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30.0"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30.0"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30.0"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30.0"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30.0"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30.0"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30.0"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30.0"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30.0"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30.0"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30.0"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30.0"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30.0"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30.0"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30.0"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30.0"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30.0"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30.0"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30.0"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30.0"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30.0"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30.0"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30.0"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30.0"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30.0"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30.0"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30.0"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30.0"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30.0"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30.0"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30.0"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30.0"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30.0"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30.0"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30.0"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30.0"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30.0"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30.0"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30.0"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30.0"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30.0"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30.0"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30.0"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30.0"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30.0"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30.0"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30.0"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30.0"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30.0"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30.0"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30.0"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30.0"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30.0"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30.0"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30.0"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30.0"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30.0"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30.0"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30.0"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30.0"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30.0"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30.0"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30.0"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30.0"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30.0"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30.0"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30.0"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30.0"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30.0"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30.0"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30.0"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30.0"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A1:G1"/>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2026-04-24T17:17:07Z</dcterms:created>
  <dc:creator>openpyxl</dc:creator>
</cp:coreProperties>
</file>

<file path=docProps/custom.xml><?xml version="1.0" encoding="utf-8"?>
<Properties xmlns="http://schemas.openxmlformats.org/officeDocument/2006/custom-properties" xmlns:vt="http://schemas.openxmlformats.org/officeDocument/2006/docPropsVTypes"/>
</file>